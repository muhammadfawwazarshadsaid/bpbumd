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BAngUn\LRT\SUBSIDI\"/>
    </mc:Choice>
  </mc:AlternateContent>
  <xr:revisionPtr revIDLastSave="0" documentId="13_ncr:1_{0DE6A924-52F3-46D6-94A0-1E1E08CFF939}" xr6:coauthVersionLast="47" xr6:coauthVersionMax="47" xr10:uidLastSave="{00000000-0000-0000-0000-000000000000}"/>
  <bookViews>
    <workbookView xWindow="-110" yWindow="-110" windowWidth="19420" windowHeight="10420" activeTab="1" xr2:uid="{9AD4F1F9-8332-43CD-8BA7-1474C0EADF0F}"/>
  </bookViews>
  <sheets>
    <sheet name="sum pra sar" sheetId="1" r:id="rId1"/>
    <sheet name="kebut - real" sheetId="5" r:id="rId2"/>
    <sheet name="selish kurng 2020" sheetId="3" r:id="rId3"/>
    <sheet name="selish kurng 2021" sheetId="4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5" l="1"/>
  <c r="E15" i="5"/>
  <c r="E4" i="5"/>
  <c r="F39" i="5"/>
  <c r="F26" i="5"/>
  <c r="F101" i="5" s="1"/>
  <c r="E26" i="5"/>
  <c r="J55" i="5"/>
  <c r="J44" i="5"/>
  <c r="J43" i="5"/>
  <c r="J42" i="5"/>
  <c r="J41" i="5"/>
  <c r="J3" i="5"/>
  <c r="H85" i="5"/>
  <c r="I85" i="5"/>
  <c r="J85" i="5" s="1"/>
  <c r="G85" i="5"/>
  <c r="I83" i="5"/>
  <c r="I82" i="5"/>
  <c r="I81" i="5"/>
  <c r="I80" i="5"/>
  <c r="I79" i="5"/>
  <c r="I78" i="5"/>
  <c r="H83" i="5"/>
  <c r="H82" i="5"/>
  <c r="H81" i="5"/>
  <c r="H80" i="5"/>
  <c r="H79" i="5"/>
  <c r="H78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I77" i="5"/>
  <c r="I76" i="5"/>
  <c r="I75" i="5"/>
  <c r="I71" i="5"/>
  <c r="I70" i="5"/>
  <c r="H77" i="5"/>
  <c r="H76" i="5"/>
  <c r="H75" i="5"/>
  <c r="H74" i="5"/>
  <c r="H73" i="5"/>
  <c r="H72" i="5"/>
  <c r="H71" i="5"/>
  <c r="H70" i="5"/>
  <c r="G70" i="5"/>
  <c r="G69" i="5"/>
  <c r="I68" i="5"/>
  <c r="I67" i="5"/>
  <c r="I66" i="5"/>
  <c r="I65" i="5"/>
  <c r="I64" i="5"/>
  <c r="I63" i="5"/>
  <c r="I62" i="5"/>
  <c r="I61" i="5"/>
  <c r="H68" i="5"/>
  <c r="H67" i="5"/>
  <c r="H66" i="5"/>
  <c r="H65" i="5"/>
  <c r="H64" i="5"/>
  <c r="H63" i="5"/>
  <c r="H62" i="5"/>
  <c r="H61" i="5"/>
  <c r="G68" i="5"/>
  <c r="G67" i="5"/>
  <c r="G66" i="5"/>
  <c r="G65" i="5"/>
  <c r="G64" i="5"/>
  <c r="G63" i="5"/>
  <c r="G62" i="5"/>
  <c r="G61" i="5"/>
  <c r="H60" i="5"/>
  <c r="J60" i="5" s="1"/>
  <c r="H59" i="5"/>
  <c r="J59" i="5" s="1"/>
  <c r="H58" i="5"/>
  <c r="J58" i="5" s="1"/>
  <c r="H57" i="5"/>
  <c r="J57" i="5" s="1"/>
  <c r="H56" i="5"/>
  <c r="J56" i="5" s="1"/>
  <c r="G60" i="5"/>
  <c r="G59" i="5"/>
  <c r="G58" i="5"/>
  <c r="G57" i="5"/>
  <c r="G56" i="5"/>
  <c r="G55" i="5"/>
  <c r="I53" i="5"/>
  <c r="H53" i="5"/>
  <c r="G53" i="5"/>
  <c r="I52" i="5"/>
  <c r="I51" i="5"/>
  <c r="I50" i="5"/>
  <c r="I49" i="5"/>
  <c r="I48" i="5"/>
  <c r="I47" i="5"/>
  <c r="I46" i="5"/>
  <c r="I45" i="5"/>
  <c r="H52" i="5"/>
  <c r="H51" i="5"/>
  <c r="H50" i="5"/>
  <c r="H49" i="5"/>
  <c r="H48" i="5"/>
  <c r="H47" i="5"/>
  <c r="H46" i="5"/>
  <c r="H45" i="5"/>
  <c r="G52" i="5"/>
  <c r="G51" i="5"/>
  <c r="G50" i="5"/>
  <c r="G49" i="5"/>
  <c r="G48" i="5"/>
  <c r="G47" i="5"/>
  <c r="G46" i="5"/>
  <c r="G45" i="5"/>
  <c r="G44" i="5"/>
  <c r="G43" i="5"/>
  <c r="G42" i="5"/>
  <c r="G41" i="5"/>
  <c r="I40" i="5"/>
  <c r="H40" i="5"/>
  <c r="G40" i="5"/>
  <c r="I38" i="5"/>
  <c r="I37" i="5"/>
  <c r="H38" i="5"/>
  <c r="H37" i="5"/>
  <c r="G38" i="5"/>
  <c r="G37" i="5"/>
  <c r="I36" i="5"/>
  <c r="I35" i="5"/>
  <c r="I34" i="5"/>
  <c r="I33" i="5"/>
  <c r="I32" i="5"/>
  <c r="I31" i="5"/>
  <c r="G36" i="5"/>
  <c r="G35" i="5"/>
  <c r="G34" i="5"/>
  <c r="G33" i="5"/>
  <c r="G32" i="5"/>
  <c r="G31" i="5"/>
  <c r="H36" i="5"/>
  <c r="H35" i="5"/>
  <c r="H34" i="5"/>
  <c r="H33" i="5"/>
  <c r="H32" i="5"/>
  <c r="H31" i="5"/>
  <c r="H30" i="5"/>
  <c r="I30" i="5"/>
  <c r="J30" i="5" s="1"/>
  <c r="G30" i="5"/>
  <c r="H29" i="5"/>
  <c r="I29" i="5"/>
  <c r="J29" i="5" s="1"/>
  <c r="G29" i="5"/>
  <c r="G28" i="5"/>
  <c r="H28" i="5"/>
  <c r="J28" i="5" s="1"/>
  <c r="H27" i="5"/>
  <c r="I27" i="5"/>
  <c r="G27" i="5"/>
  <c r="I25" i="5"/>
  <c r="H25" i="5"/>
  <c r="G25" i="5"/>
  <c r="H24" i="5"/>
  <c r="J24" i="5" s="1"/>
  <c r="H23" i="5"/>
  <c r="J23" i="5" s="1"/>
  <c r="G24" i="5"/>
  <c r="G23" i="5"/>
  <c r="H22" i="5"/>
  <c r="J22" i="5" s="1"/>
  <c r="H21" i="5"/>
  <c r="J21" i="5" s="1"/>
  <c r="G22" i="5"/>
  <c r="G21" i="5"/>
  <c r="H20" i="5"/>
  <c r="J20" i="5" s="1"/>
  <c r="H19" i="5"/>
  <c r="J19" i="5" s="1"/>
  <c r="H18" i="5"/>
  <c r="J18" i="5" s="1"/>
  <c r="G20" i="5"/>
  <c r="G19" i="5"/>
  <c r="G18" i="5"/>
  <c r="I17" i="5"/>
  <c r="G17" i="5"/>
  <c r="H17" i="5"/>
  <c r="I16" i="5"/>
  <c r="H16" i="5"/>
  <c r="G16" i="5"/>
  <c r="G15" i="5"/>
  <c r="G14" i="5"/>
  <c r="G13" i="5"/>
  <c r="I13" i="5"/>
  <c r="H13" i="5"/>
  <c r="I12" i="5"/>
  <c r="H12" i="5"/>
  <c r="G12" i="5"/>
  <c r="I11" i="5"/>
  <c r="H11" i="5"/>
  <c r="G11" i="5"/>
  <c r="I10" i="5"/>
  <c r="H10" i="5"/>
  <c r="G10" i="5"/>
  <c r="I9" i="5"/>
  <c r="G9" i="5"/>
  <c r="H9" i="5"/>
  <c r="H8" i="5"/>
  <c r="I8" i="5"/>
  <c r="J8" i="5" s="1"/>
  <c r="G8" i="5"/>
  <c r="I7" i="5"/>
  <c r="H7" i="5"/>
  <c r="G7" i="5"/>
  <c r="H6" i="5"/>
  <c r="J6" i="5" s="1"/>
  <c r="G6" i="5"/>
  <c r="H5" i="5"/>
  <c r="I5" i="5"/>
  <c r="G5" i="5"/>
  <c r="F21" i="1"/>
  <c r="E22" i="1"/>
  <c r="E21" i="3"/>
  <c r="F20" i="1"/>
  <c r="F22" i="1"/>
  <c r="E22" i="3" s="1"/>
  <c r="D22" i="1"/>
  <c r="C22" i="4"/>
  <c r="E23" i="4"/>
  <c r="D23" i="4"/>
  <c r="C23" i="4" s="1"/>
  <c r="C21" i="4"/>
  <c r="E11" i="4"/>
  <c r="E18" i="4" s="1"/>
  <c r="E26" i="4" s="1"/>
  <c r="E10" i="4"/>
  <c r="E6" i="4"/>
  <c r="D6" i="4"/>
  <c r="C6" i="4" s="1"/>
  <c r="C4" i="4"/>
  <c r="F39" i="1"/>
  <c r="F38" i="1"/>
  <c r="F37" i="1"/>
  <c r="F36" i="1"/>
  <c r="F35" i="1"/>
  <c r="E38" i="1"/>
  <c r="E37" i="1"/>
  <c r="E36" i="1"/>
  <c r="E35" i="1"/>
  <c r="D39" i="1"/>
  <c r="D38" i="1"/>
  <c r="D37" i="1"/>
  <c r="D36" i="1"/>
  <c r="D35" i="1"/>
  <c r="C38" i="1"/>
  <c r="C37" i="1"/>
  <c r="C36" i="1"/>
  <c r="C35" i="1"/>
  <c r="E39" i="1"/>
  <c r="C39" i="1"/>
  <c r="F34" i="1"/>
  <c r="F33" i="1"/>
  <c r="E34" i="1"/>
  <c r="E33" i="1"/>
  <c r="D34" i="1"/>
  <c r="D33" i="1"/>
  <c r="C34" i="1"/>
  <c r="C33" i="1"/>
  <c r="F28" i="1"/>
  <c r="E28" i="1"/>
  <c r="D28" i="1"/>
  <c r="D40" i="1" s="1"/>
  <c r="D42" i="1" s="1"/>
  <c r="C28" i="1"/>
  <c r="C40" i="1" s="1"/>
  <c r="C42" i="1" s="1"/>
  <c r="C43" i="1" s="1"/>
  <c r="D22" i="3"/>
  <c r="D26" i="3" s="1"/>
  <c r="D23" i="1" s="1"/>
  <c r="D21" i="3"/>
  <c r="D25" i="3" s="1"/>
  <c r="E14" i="3"/>
  <c r="E13" i="3"/>
  <c r="E11" i="3"/>
  <c r="E18" i="3" s="1"/>
  <c r="E10" i="3"/>
  <c r="D8" i="3"/>
  <c r="D11" i="3" s="1"/>
  <c r="C8" i="3"/>
  <c r="D7" i="3"/>
  <c r="E6" i="3"/>
  <c r="D6" i="3"/>
  <c r="C6" i="3"/>
  <c r="C4" i="3"/>
  <c r="E3" i="3"/>
  <c r="E17" i="3" s="1"/>
  <c r="E19" i="3" s="1"/>
  <c r="C3" i="3"/>
  <c r="E8" i="1"/>
  <c r="C8" i="1"/>
  <c r="H23" i="1"/>
  <c r="G23" i="1"/>
  <c r="C22" i="1"/>
  <c r="E21" i="1"/>
  <c r="D21" i="1"/>
  <c r="C21" i="1"/>
  <c r="F119" i="1"/>
  <c r="E119" i="1"/>
  <c r="D119" i="1"/>
  <c r="C119" i="1"/>
  <c r="E20" i="1"/>
  <c r="E19" i="1"/>
  <c r="E16" i="1"/>
  <c r="E17" i="1"/>
  <c r="E18" i="1"/>
  <c r="F19" i="1"/>
  <c r="F18" i="1"/>
  <c r="F17" i="1"/>
  <c r="F16" i="1"/>
  <c r="D20" i="1"/>
  <c r="D19" i="1"/>
  <c r="D18" i="1"/>
  <c r="D17" i="1"/>
  <c r="D16" i="1"/>
  <c r="C20" i="1"/>
  <c r="C19" i="1"/>
  <c r="C18" i="1"/>
  <c r="C17" i="1"/>
  <c r="C16" i="1"/>
  <c r="D11" i="1"/>
  <c r="C11" i="1"/>
  <c r="F11" i="1"/>
  <c r="E11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6" i="1"/>
  <c r="E46" i="1"/>
  <c r="D46" i="1"/>
  <c r="C46" i="1"/>
  <c r="C45" i="1" a="1"/>
  <c r="C76" i="1" a="1"/>
  <c r="C75" i="1" a="1"/>
  <c r="C74" i="1" a="1"/>
  <c r="C73" i="1" a="1"/>
  <c r="C72" i="1" a="1"/>
  <c r="C71" i="1" a="1"/>
  <c r="C70" i="1" a="1"/>
  <c r="C69" i="1" a="1"/>
  <c r="C68" i="1" a="1"/>
  <c r="C67" i="1" a="1"/>
  <c r="C66" i="1" a="1"/>
  <c r="C65" i="1" a="1"/>
  <c r="C64" i="1" a="1"/>
  <c r="C63" i="1" a="1"/>
  <c r="E118" i="1" a="1"/>
  <c r="E117" i="1" a="1"/>
  <c r="E116" i="1" a="1"/>
  <c r="E115" i="1" a="1"/>
  <c r="C118" i="1" a="1"/>
  <c r="C117" i="1" a="1"/>
  <c r="C116" i="1" a="1"/>
  <c r="C115" i="1" a="1"/>
  <c r="H127" i="1"/>
  <c r="G127" i="1"/>
  <c r="I127" i="1" s="1"/>
  <c r="H126" i="1"/>
  <c r="G126" i="1"/>
  <c r="H125" i="1"/>
  <c r="G125" i="1"/>
  <c r="I125" i="1" s="1"/>
  <c r="H124" i="1"/>
  <c r="G124" i="1"/>
  <c r="I124" i="1" s="1"/>
  <c r="H123" i="1"/>
  <c r="G123" i="1"/>
  <c r="H122" i="1"/>
  <c r="G122" i="1"/>
  <c r="H121" i="1"/>
  <c r="G121" i="1"/>
  <c r="H120" i="1"/>
  <c r="G120" i="1"/>
  <c r="I120" i="1" s="1"/>
  <c r="E110" i="1" a="1"/>
  <c r="E109" i="1" a="1"/>
  <c r="E108" i="1" a="1"/>
  <c r="E107" i="1" a="1"/>
  <c r="E106" i="1" a="1"/>
  <c r="E105" i="1" a="1"/>
  <c r="E104" i="1" a="1"/>
  <c r="E103" i="1" a="1"/>
  <c r="E102" i="1" a="1"/>
  <c r="E101" i="1" a="1"/>
  <c r="E100" i="1" a="1"/>
  <c r="E99" i="1" a="1"/>
  <c r="E98" i="1" a="1"/>
  <c r="E97" i="1" a="1"/>
  <c r="C110" i="1" a="1"/>
  <c r="C109" i="1" a="1"/>
  <c r="C108" i="1" a="1"/>
  <c r="C107" i="1" a="1"/>
  <c r="C106" i="1" a="1"/>
  <c r="C105" i="1" a="1"/>
  <c r="C104" i="1" a="1"/>
  <c r="C103" i="1" a="1"/>
  <c r="C102" i="1" a="1"/>
  <c r="C101" i="1" a="1"/>
  <c r="C100" i="1" a="1"/>
  <c r="C99" i="1" a="1"/>
  <c r="C98" i="1" a="1"/>
  <c r="C97" i="1" a="1"/>
  <c r="C92" i="1" a="1"/>
  <c r="C91" i="1" a="1"/>
  <c r="C90" i="1" a="1"/>
  <c r="C89" i="1" a="1"/>
  <c r="C88" i="1" a="1"/>
  <c r="C87" i="1" a="1"/>
  <c r="C86" i="1" a="1"/>
  <c r="C85" i="1" a="1"/>
  <c r="C84" i="1" a="1"/>
  <c r="C83" i="1" a="1"/>
  <c r="C82" i="1" a="1"/>
  <c r="F81" i="1"/>
  <c r="E81" i="1"/>
  <c r="D81" i="1"/>
  <c r="C81" i="1"/>
  <c r="F80" i="1"/>
  <c r="E80" i="1"/>
  <c r="D80" i="1"/>
  <c r="C80" i="1"/>
  <c r="C59" i="1"/>
  <c r="G59" i="1" s="1"/>
  <c r="I45" i="1"/>
  <c r="E101" i="5" l="1"/>
  <c r="J5" i="5"/>
  <c r="J45" i="5"/>
  <c r="J27" i="5"/>
  <c r="J46" i="5"/>
  <c r="J78" i="5"/>
  <c r="J9" i="5"/>
  <c r="J83" i="5"/>
  <c r="J82" i="5"/>
  <c r="J81" i="5"/>
  <c r="J80" i="5"/>
  <c r="J79" i="5"/>
  <c r="J76" i="5"/>
  <c r="J75" i="5"/>
  <c r="J70" i="5"/>
  <c r="J53" i="5"/>
  <c r="J50" i="5"/>
  <c r="J77" i="5"/>
  <c r="J52" i="5"/>
  <c r="J48" i="5"/>
  <c r="J40" i="5"/>
  <c r="J16" i="5"/>
  <c r="J51" i="5"/>
  <c r="J12" i="5"/>
  <c r="J10" i="5"/>
  <c r="J49" i="5"/>
  <c r="J47" i="5"/>
  <c r="J68" i="5"/>
  <c r="J67" i="5"/>
  <c r="J66" i="5"/>
  <c r="J65" i="5"/>
  <c r="J64" i="5"/>
  <c r="J63" i="5"/>
  <c r="J62" i="5"/>
  <c r="J61" i="5"/>
  <c r="J25" i="5"/>
  <c r="J13" i="5"/>
  <c r="J11" i="5"/>
  <c r="J7" i="5"/>
  <c r="I72" i="5"/>
  <c r="J71" i="5"/>
  <c r="J37" i="5"/>
  <c r="J36" i="5"/>
  <c r="J34" i="5"/>
  <c r="J38" i="5"/>
  <c r="J35" i="5"/>
  <c r="J33" i="5"/>
  <c r="J32" i="5"/>
  <c r="J31" i="5"/>
  <c r="J17" i="5"/>
  <c r="I123" i="1"/>
  <c r="I122" i="1"/>
  <c r="E40" i="1"/>
  <c r="E42" i="1" s="1"/>
  <c r="I121" i="1"/>
  <c r="D24" i="1"/>
  <c r="E26" i="3"/>
  <c r="C22" i="3"/>
  <c r="E25" i="3"/>
  <c r="E23" i="3"/>
  <c r="D111" i="1"/>
  <c r="H110" i="1"/>
  <c r="H109" i="1"/>
  <c r="H108" i="1"/>
  <c r="H107" i="1"/>
  <c r="H106" i="1"/>
  <c r="F111" i="1"/>
  <c r="F40" i="1"/>
  <c r="F42" i="1" s="1"/>
  <c r="E43" i="1" s="1"/>
  <c r="C23" i="1"/>
  <c r="C24" i="1" s="1"/>
  <c r="D27" i="3"/>
  <c r="D23" i="3"/>
  <c r="C21" i="3"/>
  <c r="D11" i="4"/>
  <c r="C8" i="4"/>
  <c r="D10" i="4"/>
  <c r="C7" i="4"/>
  <c r="E17" i="4"/>
  <c r="C3" i="4"/>
  <c r="D18" i="3"/>
  <c r="C11" i="3"/>
  <c r="C18" i="3" s="1"/>
  <c r="D10" i="3"/>
  <c r="C7" i="3"/>
  <c r="H119" i="1"/>
  <c r="G119" i="1"/>
  <c r="H51" i="1"/>
  <c r="I126" i="1"/>
  <c r="G118" i="1"/>
  <c r="H118" i="1"/>
  <c r="H117" i="1"/>
  <c r="G117" i="1"/>
  <c r="H116" i="1"/>
  <c r="G116" i="1"/>
  <c r="G115" i="1"/>
  <c r="H115" i="1"/>
  <c r="G110" i="1"/>
  <c r="G109" i="1"/>
  <c r="G108" i="1"/>
  <c r="G107" i="1"/>
  <c r="G106" i="1"/>
  <c r="E111" i="1"/>
  <c r="C111" i="1"/>
  <c r="C112" i="1" s="1"/>
  <c r="G46" i="1"/>
  <c r="G51" i="1"/>
  <c r="E112" i="1" l="1"/>
  <c r="J72" i="5"/>
  <c r="I73" i="5"/>
  <c r="E114" i="1" a="1"/>
  <c r="I109" i="1"/>
  <c r="I108" i="1"/>
  <c r="I107" i="1"/>
  <c r="I106" i="1"/>
  <c r="I116" i="1"/>
  <c r="I110" i="1"/>
  <c r="C23" i="3"/>
  <c r="C25" i="1"/>
  <c r="C26" i="3"/>
  <c r="F23" i="1"/>
  <c r="F24" i="1" s="1"/>
  <c r="E27" i="3"/>
  <c r="C27" i="3" s="1"/>
  <c r="C25" i="3"/>
  <c r="E23" i="1"/>
  <c r="E24" i="1" s="1"/>
  <c r="C11" i="4"/>
  <c r="C18" i="4" s="1"/>
  <c r="D18" i="4"/>
  <c r="D26" i="4" s="1"/>
  <c r="C26" i="4" s="1"/>
  <c r="C10" i="4"/>
  <c r="C17" i="4" s="1"/>
  <c r="C19" i="4" s="1"/>
  <c r="D17" i="4"/>
  <c r="E19" i="4"/>
  <c r="E25" i="4"/>
  <c r="E27" i="4" s="1"/>
  <c r="D17" i="3"/>
  <c r="D19" i="3" s="1"/>
  <c r="C10" i="3"/>
  <c r="C17" i="3" s="1"/>
  <c r="C19" i="3" s="1"/>
  <c r="I119" i="1"/>
  <c r="I117" i="1"/>
  <c r="I51" i="1"/>
  <c r="H46" i="1"/>
  <c r="I46" i="1" s="1"/>
  <c r="I118" i="1"/>
  <c r="I115" i="1"/>
  <c r="G100" i="1"/>
  <c r="G99" i="1"/>
  <c r="G102" i="1"/>
  <c r="G103" i="1"/>
  <c r="G101" i="1"/>
  <c r="G104" i="1"/>
  <c r="G105" i="1"/>
  <c r="H102" i="1"/>
  <c r="G98" i="1"/>
  <c r="H98" i="1"/>
  <c r="H104" i="1"/>
  <c r="H103" i="1"/>
  <c r="H97" i="1"/>
  <c r="G97" i="1"/>
  <c r="H99" i="1"/>
  <c r="H105" i="1"/>
  <c r="H100" i="1"/>
  <c r="H101" i="1"/>
  <c r="G92" i="1"/>
  <c r="G91" i="1"/>
  <c r="G90" i="1"/>
  <c r="G89" i="1"/>
  <c r="G88" i="1"/>
  <c r="G86" i="1"/>
  <c r="G85" i="1"/>
  <c r="G84" i="1"/>
  <c r="G83" i="1"/>
  <c r="G82" i="1"/>
  <c r="G81" i="1"/>
  <c r="G80" i="1"/>
  <c r="J73" i="5" l="1"/>
  <c r="I74" i="5"/>
  <c r="J74" i="5" s="1"/>
  <c r="C93" i="1" a="1"/>
  <c r="F128" i="1"/>
  <c r="E128" i="1"/>
  <c r="E129" i="1" s="1"/>
  <c r="E25" i="1"/>
  <c r="D19" i="4"/>
  <c r="D25" i="4"/>
  <c r="I102" i="1"/>
  <c r="H111" i="1"/>
  <c r="I100" i="1"/>
  <c r="I105" i="1"/>
  <c r="I99" i="1"/>
  <c r="I103" i="1"/>
  <c r="I101" i="1"/>
  <c r="I98" i="1"/>
  <c r="I104" i="1"/>
  <c r="G111" i="1"/>
  <c r="I97" i="1"/>
  <c r="G87" i="1"/>
  <c r="H87" i="1"/>
  <c r="H80" i="1"/>
  <c r="I80" i="1" s="1"/>
  <c r="H86" i="1"/>
  <c r="I86" i="1" s="1"/>
  <c r="H81" i="1"/>
  <c r="I81" i="1" s="1"/>
  <c r="H82" i="1"/>
  <c r="I82" i="1" s="1"/>
  <c r="H91" i="1"/>
  <c r="I91" i="1" s="1"/>
  <c r="H84" i="1"/>
  <c r="I84" i="1" s="1"/>
  <c r="H92" i="1"/>
  <c r="I92" i="1" s="1"/>
  <c r="H83" i="1"/>
  <c r="I83" i="1" s="1"/>
  <c r="H85" i="1"/>
  <c r="I85" i="1" s="1"/>
  <c r="H89" i="1"/>
  <c r="I89" i="1" s="1"/>
  <c r="H88" i="1"/>
  <c r="I88" i="1" s="1"/>
  <c r="H90" i="1"/>
  <c r="I90" i="1" s="1"/>
  <c r="G76" i="1"/>
  <c r="G75" i="1"/>
  <c r="G74" i="1"/>
  <c r="H76" i="1"/>
  <c r="G63" i="1"/>
  <c r="C114" i="1" a="1"/>
  <c r="G93" i="1" l="1"/>
  <c r="H93" i="1"/>
  <c r="H94" i="1" s="1"/>
  <c r="C94" i="1"/>
  <c r="D94" i="1"/>
  <c r="E94" i="1"/>
  <c r="F94" i="1"/>
  <c r="G114" i="1"/>
  <c r="H114" i="1"/>
  <c r="H128" i="1" s="1"/>
  <c r="D128" i="1"/>
  <c r="C128" i="1"/>
  <c r="D27" i="4"/>
  <c r="C27" i="4" s="1"/>
  <c r="C25" i="4"/>
  <c r="G72" i="1"/>
  <c r="I76" i="1"/>
  <c r="I111" i="1"/>
  <c r="I112" i="1" s="1"/>
  <c r="I87" i="1"/>
  <c r="H63" i="1"/>
  <c r="I63" i="1" s="1"/>
  <c r="H72" i="1"/>
  <c r="I72" i="1" s="1"/>
  <c r="H74" i="1"/>
  <c r="I74" i="1" s="1"/>
  <c r="H75" i="1"/>
  <c r="I75" i="1" s="1"/>
  <c r="H59" i="1"/>
  <c r="I59" i="1" s="1"/>
  <c r="H58" i="1"/>
  <c r="H55" i="1"/>
  <c r="G45" i="1"/>
  <c r="G41" i="1"/>
  <c r="I41" i="1"/>
  <c r="I40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I39" i="1"/>
  <c r="I38" i="1"/>
  <c r="I37" i="1"/>
  <c r="I36" i="1"/>
  <c r="I35" i="1"/>
  <c r="I34" i="1"/>
  <c r="I33" i="1"/>
  <c r="H28" i="1"/>
  <c r="G28" i="1"/>
  <c r="I28" i="1"/>
  <c r="H27" i="1"/>
  <c r="G27" i="1"/>
  <c r="I27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1" i="1"/>
  <c r="G11" i="1"/>
  <c r="H10" i="1"/>
  <c r="G10" i="1"/>
  <c r="H6" i="1"/>
  <c r="G6" i="1"/>
  <c r="H5" i="1"/>
  <c r="G5" i="1"/>
  <c r="I6" i="1"/>
  <c r="I5" i="1"/>
  <c r="I22" i="1"/>
  <c r="I21" i="1"/>
  <c r="I20" i="1"/>
  <c r="I19" i="1"/>
  <c r="I18" i="1"/>
  <c r="I17" i="1"/>
  <c r="I16" i="1"/>
  <c r="I11" i="1"/>
  <c r="I10" i="1"/>
  <c r="C129" i="1" l="1"/>
  <c r="G94" i="1"/>
  <c r="I93" i="1"/>
  <c r="I94" i="1" s="1"/>
  <c r="E95" i="1"/>
  <c r="C95" i="1"/>
  <c r="I95" i="1" s="1"/>
  <c r="G128" i="1"/>
  <c r="I114" i="1"/>
  <c r="I128" i="1" s="1"/>
  <c r="H57" i="1"/>
  <c r="G52" i="1"/>
  <c r="I42" i="1"/>
  <c r="I43" i="1" s="1"/>
  <c r="G42" i="1"/>
  <c r="G24" i="1"/>
  <c r="H42" i="1"/>
  <c r="H24" i="1"/>
  <c r="I7" i="1"/>
  <c r="I8" i="1" s="1"/>
  <c r="G7" i="1"/>
  <c r="H7" i="1"/>
  <c r="H52" i="1"/>
  <c r="H45" i="1"/>
  <c r="D60" i="1"/>
  <c r="E60" i="1"/>
  <c r="G57" i="1"/>
  <c r="G53" i="1"/>
  <c r="F60" i="1"/>
  <c r="H56" i="1"/>
  <c r="G56" i="1"/>
  <c r="G55" i="1"/>
  <c r="I55" i="1" s="1"/>
  <c r="H54" i="1"/>
  <c r="G54" i="1"/>
  <c r="H53" i="1"/>
  <c r="H50" i="1"/>
  <c r="G50" i="1"/>
  <c r="I129" i="1" l="1"/>
  <c r="I50" i="1"/>
  <c r="E61" i="1"/>
  <c r="I52" i="1"/>
  <c r="I53" i="1"/>
  <c r="I57" i="1"/>
  <c r="I56" i="1"/>
  <c r="I54" i="1"/>
  <c r="H60" i="1"/>
  <c r="I23" i="1" l="1"/>
  <c r="I24" i="1" s="1"/>
  <c r="I25" i="1" s="1"/>
  <c r="G71" i="1"/>
  <c r="H71" i="1"/>
  <c r="H70" i="1"/>
  <c r="G70" i="1"/>
  <c r="G65" i="1"/>
  <c r="H65" i="1"/>
  <c r="H73" i="1" l="1"/>
  <c r="G73" i="1"/>
  <c r="I70" i="1"/>
  <c r="I71" i="1"/>
  <c r="G69" i="1"/>
  <c r="H69" i="1"/>
  <c r="H67" i="1"/>
  <c r="G67" i="1"/>
  <c r="I67" i="1" s="1"/>
  <c r="G66" i="1"/>
  <c r="H66" i="1"/>
  <c r="I65" i="1"/>
  <c r="I73" i="1" l="1"/>
  <c r="I69" i="1"/>
  <c r="I66" i="1"/>
  <c r="G64" i="1"/>
  <c r="H64" i="1"/>
  <c r="I64" i="1" l="1"/>
  <c r="G68" i="1" l="1"/>
  <c r="H68" i="1"/>
  <c r="H77" i="1" s="1"/>
  <c r="C77" i="1"/>
  <c r="E77" i="1"/>
  <c r="F77" i="1"/>
  <c r="D77" i="1"/>
  <c r="C78" i="1" l="1"/>
  <c r="E78" i="1"/>
  <c r="G77" i="1"/>
  <c r="I68" i="1"/>
  <c r="I77" i="1" s="1"/>
  <c r="I78" i="1" l="1"/>
  <c r="C58" i="1"/>
  <c r="G58" i="1" l="1"/>
  <c r="C60" i="1"/>
  <c r="C61" i="1" s="1"/>
  <c r="D132" i="1" l="1"/>
  <c r="I58" i="1"/>
  <c r="I60" i="1" s="1"/>
  <c r="I61" i="1" s="1"/>
  <c r="G60" i="1"/>
  <c r="G39" i="5" l="1"/>
  <c r="G101" i="5" s="1"/>
  <c r="G10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<sst xmlns="http://schemas.openxmlformats.org/spreadsheetml/2006/main" count="294" uniqueCount="69">
  <si>
    <t>Rekap pencairan subsidi</t>
  </si>
  <si>
    <t>Tahun</t>
  </si>
  <si>
    <t>Realisasi pencairan</t>
  </si>
  <si>
    <t>Porsi Jakpro</t>
  </si>
  <si>
    <t>Prasarana</t>
  </si>
  <si>
    <t>Sarana</t>
  </si>
  <si>
    <t>Porsi LRTJ</t>
  </si>
  <si>
    <t>Keterangan</t>
  </si>
  <si>
    <t>Bulan</t>
  </si>
  <si>
    <t>UM</t>
  </si>
  <si>
    <t>Feb</t>
  </si>
  <si>
    <t>Jan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</si>
  <si>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</si>
  <si>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</si>
  <si>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</si>
  <si>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</si>
  <si>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</si>
  <si>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</si>
  <si>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</si>
  <si>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</si>
  <si>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</si>
  <si>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</si>
  <si>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Pengembalian lebih</t>
  </si>
  <si>
    <t>Total</t>
  </si>
  <si>
    <t>Selisih kurang/lebih</t>
  </si>
  <si>
    <t>Kekurangan subsidi TA 2021</t>
  </si>
  <si>
    <t xml:space="preserve">Selisih/kurang </t>
  </si>
  <si>
    <t>Pengembalian  dr LRTJ</t>
  </si>
  <si>
    <t>Kekurangan 2022</t>
  </si>
  <si>
    <t>Prasarana 
(a)</t>
  </si>
  <si>
    <t>Sarana
(b)</t>
  </si>
  <si>
    <t>Total
(a+b)</t>
  </si>
  <si>
    <t>SubTotal</t>
  </si>
  <si>
    <t>Selish Kurang 2020</t>
  </si>
  <si>
    <t>total</t>
  </si>
  <si>
    <t>Jakpro</t>
  </si>
  <si>
    <t>LRT</t>
  </si>
  <si>
    <t>terverif</t>
  </si>
  <si>
    <t>25% UM</t>
  </si>
  <si>
    <t>sanksi</t>
  </si>
  <si>
    <t>total nilai verif</t>
  </si>
  <si>
    <t>pencairan 90% des</t>
  </si>
  <si>
    <t>selisih kurang lebih</t>
  </si>
  <si>
    <t>Subtotal</t>
  </si>
  <si>
    <t>Tanggal Perjanjian</t>
  </si>
  <si>
    <t>Nilai Kebutuhan</t>
  </si>
  <si>
    <t>Realisasi Pencairan</t>
  </si>
  <si>
    <t>Periode Tahun</t>
  </si>
  <si>
    <t>Uang Muka</t>
  </si>
  <si>
    <t>Selisih Lebih</t>
  </si>
  <si>
    <t>Jan - Mei</t>
  </si>
  <si>
    <t>Selisih Kurang</t>
  </si>
  <si>
    <t>pengembalian kelebihan subsidi</t>
  </si>
  <si>
    <t>penyesuaian subsidi Jan - Nov</t>
  </si>
  <si>
    <t>Jan - Apr</t>
  </si>
  <si>
    <t>Selisih lebih  PTLRTJ</t>
  </si>
  <si>
    <t xml:space="preserve">Jan </t>
  </si>
  <si>
    <t xml:space="preserve">Tgl Pencairan </t>
  </si>
  <si>
    <t>biaya Prasarana tidak terverif 100%</t>
  </si>
  <si>
    <t>pencairan dilakukan bersamaan periode Jun - Agust</t>
  </si>
  <si>
    <t>selisih penciaran</t>
  </si>
  <si>
    <t>Tgl Penagihan</t>
  </si>
  <si>
    <t>Nilai Perjanjian / DPA</t>
  </si>
  <si>
    <t>- Kebutuhan ; BA Proposal 30 maret 2022
'- Perjanjian; Perjanjian 22 Apr 2022 &amp; DPA-P utang 2022 = 46.441.290.106</t>
  </si>
  <si>
    <t>- kebutuhan; perjanjian 14 Apr 2023
-  perjanjian; addendum 6 des 2023 + DPA-P utang 2023 = 105.884.366.450</t>
  </si>
  <si>
    <t>- kebutuhan; perjanjian 5 Apr 2024
'- perjanjian; Addendum 25 Nov 2024</t>
  </si>
  <si>
    <t>- kebutuhan; perjanjian  5 Juni 2025
'- perjanjian : 5 November 2025</t>
  </si>
  <si>
    <t>Nilai Kebutuhan: BA Verif Pengusulan Subsidi 2020 - 3 Maret 2020
Nilai Perjanjian NO 2272/-1.811.3 tgl 18 Mei 2020
DPA 439.620.000.000</t>
  </si>
  <si>
    <t>- Kebutuhan; BA Addendum 10 Des 2021 
'-Perjanjian ; 52/-1.811.3 tgl 21 Juni 2021 &amp; DPA, addendum merubah porsi prasarana - sarana, Utang subsidi 70.497.677.723 (Addendum th 2022 -31 Des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</si>
</sst>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??_);_(@_)"/>
    <numFmt numFmtId="165" formatCode="[$-409]d\-mmm\-yy;@"/>
    <numFmt numFmtId="166" formatCode="0\ &quot;hari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1" fontId="0" fillId="0" borderId="0" xfId="1" applyFont="1"/>
    <xf numFmtId="41" fontId="0" fillId="0" borderId="0" xfId="1" applyFont="1" applyAlignment="1">
      <alignment horizontal="center"/>
    </xf>
    <xf numFmtId="164" fontId="0" fillId="0" borderId="1" xfId="0" applyNumberFormat="1" applyBorder="1" applyAlignment="1">
      <alignment vertical="center"/>
    </xf>
    <xf numFmtId="41" fontId="0" fillId="0" borderId="0" xfId="1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41" fontId="0" fillId="0" borderId="1" xfId="1" applyFont="1" applyBorder="1"/>
    <xf numFmtId="41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vertical="center"/>
    </xf>
    <xf numFmtId="41" fontId="2" fillId="0" borderId="1" xfId="1" applyFont="1" applyBorder="1"/>
    <xf numFmtId="41" fontId="0" fillId="0" borderId="1" xfId="0" applyNumberFormat="1" applyBorder="1"/>
    <xf numFmtId="41" fontId="2" fillId="0" borderId="1" xfId="0" applyNumberFormat="1" applyFont="1" applyBorder="1"/>
    <xf numFmtId="0" fontId="2" fillId="0" borderId="0" xfId="0" applyFont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41" fontId="0" fillId="0" borderId="3" xfId="1" applyFont="1" applyBorder="1"/>
    <xf numFmtId="41" fontId="0" fillId="0" borderId="3" xfId="1" applyFont="1" applyBorder="1" applyAlignment="1">
      <alignment horizontal="center"/>
    </xf>
    <xf numFmtId="0" fontId="2" fillId="0" borderId="5" xfId="0" applyFont="1" applyBorder="1"/>
    <xf numFmtId="0" fontId="2" fillId="0" borderId="3" xfId="0" applyFont="1" applyBorder="1"/>
    <xf numFmtId="41" fontId="2" fillId="2" borderId="2" xfId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2" fillId="0" borderId="4" xfId="0" applyFont="1" applyBorder="1"/>
    <xf numFmtId="0" fontId="2" fillId="0" borderId="9" xfId="0" applyFont="1" applyBorder="1"/>
    <xf numFmtId="0" fontId="0" fillId="0" borderId="7" xfId="0" applyBorder="1" applyAlignment="1">
      <alignment horizontal="center"/>
    </xf>
    <xf numFmtId="41" fontId="0" fillId="0" borderId="7" xfId="1" applyFont="1" applyBorder="1" applyAlignment="1">
      <alignment horizontal="center"/>
    </xf>
    <xf numFmtId="41" fontId="0" fillId="0" borderId="7" xfId="1" applyFont="1" applyBorder="1"/>
    <xf numFmtId="164" fontId="0" fillId="0" borderId="7" xfId="0" applyNumberFormat="1" applyBorder="1" applyAlignment="1">
      <alignment vertical="center"/>
    </xf>
    <xf numFmtId="0" fontId="0" fillId="0" borderId="7" xfId="0" applyBorder="1"/>
    <xf numFmtId="0" fontId="2" fillId="0" borderId="6" xfId="0" applyFont="1" applyBorder="1"/>
    <xf numFmtId="41" fontId="0" fillId="0" borderId="8" xfId="1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41" fontId="1" fillId="0" borderId="1" xfId="1" applyFont="1" applyBorder="1" applyAlignment="1">
      <alignment horizontal="center"/>
    </xf>
    <xf numFmtId="41" fontId="2" fillId="0" borderId="6" xfId="1" applyFont="1" applyBorder="1" applyAlignment="1">
      <alignment horizontal="center"/>
    </xf>
    <xf numFmtId="41" fontId="3" fillId="0" borderId="0" xfId="1" applyFont="1"/>
    <xf numFmtId="41" fontId="0" fillId="0" borderId="1" xfId="1" applyFont="1" applyFill="1" applyBorder="1" applyAlignment="1">
      <alignment horizontal="center"/>
    </xf>
    <xf numFmtId="41" fontId="0" fillId="0" borderId="1" xfId="1" applyFont="1" applyFill="1" applyBorder="1"/>
    <xf numFmtId="41" fontId="2" fillId="0" borderId="1" xfId="1" applyFont="1" applyBorder="1" applyAlignment="1">
      <alignment horizontal="center"/>
    </xf>
    <xf numFmtId="41" fontId="2" fillId="0" borderId="7" xfId="1" applyFont="1" applyBorder="1"/>
    <xf numFmtId="164" fontId="2" fillId="0" borderId="7" xfId="0" applyNumberFormat="1" applyFont="1" applyBorder="1" applyAlignment="1">
      <alignment vertical="center"/>
    </xf>
    <xf numFmtId="41" fontId="2" fillId="0" borderId="0" xfId="0" applyNumberFormat="1" applyFont="1"/>
    <xf numFmtId="41" fontId="2" fillId="0" borderId="0" xfId="1" applyFont="1" applyBorder="1"/>
    <xf numFmtId="164" fontId="4" fillId="0" borderId="1" xfId="0" applyNumberFormat="1" applyFont="1" applyBorder="1" applyAlignment="1">
      <alignment vertic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1" applyNumberFormat="1" applyFont="1"/>
    <xf numFmtId="166" fontId="0" fillId="0" borderId="0" xfId="1" applyNumberFormat="1" applyFont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5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165" fontId="0" fillId="2" borderId="1" xfId="0" applyNumberFormat="1" applyFill="1" applyBorder="1" applyAlignment="1">
      <alignment horizontal="right"/>
    </xf>
    <xf numFmtId="166" fontId="0" fillId="2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41" fontId="0" fillId="2" borderId="1" xfId="1" applyFont="1" applyFill="1" applyBorder="1"/>
    <xf numFmtId="164" fontId="0" fillId="2" borderId="1" xfId="1" applyNumberFormat="1" applyFont="1" applyFill="1" applyBorder="1"/>
    <xf numFmtId="9" fontId="0" fillId="0" borderId="0" xfId="2" applyFont="1"/>
    <xf numFmtId="41" fontId="2" fillId="0" borderId="0" xfId="1" applyFont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41" fontId="0" fillId="0" borderId="1" xfId="1" quotePrefix="1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41" fontId="0" fillId="2" borderId="1" xfId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right" vertical="center"/>
    </xf>
    <xf numFmtId="165" fontId="0" fillId="2" borderId="1" xfId="0" applyNumberFormat="1" applyFill="1" applyBorder="1" applyAlignment="1">
      <alignment horizontal="right" vertical="center"/>
    </xf>
    <xf numFmtId="166" fontId="0" fillId="2" borderId="1" xfId="1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41" fontId="2" fillId="0" borderId="1" xfId="1" applyFont="1" applyBorder="1" applyAlignment="1">
      <alignment horizontal="center"/>
    </xf>
    <xf numFmtId="41" fontId="2" fillId="0" borderId="6" xfId="1" applyFont="1" applyBorder="1" applyAlignment="1">
      <alignment horizontal="center"/>
    </xf>
    <xf numFmtId="41" fontId="2" fillId="0" borderId="8" xfId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2" fillId="2" borderId="6" xfId="1" applyFont="1" applyFill="1" applyBorder="1" applyAlignment="1">
      <alignment horizontal="center" vertical="center" wrapText="1"/>
    </xf>
    <xf numFmtId="41" fontId="2" fillId="2" borderId="7" xfId="1" applyFont="1" applyFill="1" applyBorder="1" applyAlignment="1">
      <alignment horizontal="center" vertical="center" wrapText="1"/>
    </xf>
    <xf numFmtId="41" fontId="2" fillId="2" borderId="8" xfId="1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1" fontId="2" fillId="0" borderId="7" xfId="1" applyFont="1" applyBorder="1" applyAlignment="1">
      <alignment horizontal="center"/>
    </xf>
    <xf numFmtId="41" fontId="2" fillId="2" borderId="1" xfId="1" applyFont="1" applyFill="1" applyBorder="1" applyAlignment="1">
      <alignment horizontal="center" vertical="center" wrapText="1"/>
    </xf>
    <xf numFmtId="41" fontId="2" fillId="2" borderId="2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BAngUn\LRT\SUBSIDI\Laporan%20Tagihan%20Subsidi%202019-2022.xlsx" TargetMode="External"/><Relationship Id="rId1" Type="http://schemas.openxmlformats.org/officeDocument/2006/relationships/externalLinkPath" Target="Laporan%20Tagihan%20Subsidi%202019-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BAngUn\LRT\SUBSIDI\Laporan%20Tagihan%20Subsidi%202023%20R1%20030723%20crosscheck.xlsx" TargetMode="External"/><Relationship Id="rId1" Type="http://schemas.openxmlformats.org/officeDocument/2006/relationships/externalLinkPath" Target="Laporan%20Tagihan%20Subsidi%202023%20R1%20030723%20crosschec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BAngUn\LRT\SUBSIDI\Laporan%20Tagihan%20Subsidi%202024.xlsx" TargetMode="External"/><Relationship Id="rId1" Type="http://schemas.openxmlformats.org/officeDocument/2006/relationships/externalLinkPath" Target="Laporan%20Tagihan%20Subsidi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BAngUn\LRT\SUBSIDI\Laporan%20Tagihan%20Subsidi%202025.xlsx" TargetMode="External"/><Relationship Id="rId1" Type="http://schemas.openxmlformats.org/officeDocument/2006/relationships/externalLinkPath" Target="Laporan%20Tagihan%20Subsidi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BAngUn\LRT\SUBSIDI\Laporan%20Tagihan%20Subsidi%202026.xlsx" TargetMode="External"/><Relationship Id="rId1" Type="http://schemas.openxmlformats.org/officeDocument/2006/relationships/externalLinkPath" Target="Laporan%20Tagihan%20Subsid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- 2020"/>
      <sheetName val="2021"/>
      <sheetName val="2022"/>
      <sheetName val="2023"/>
      <sheetName val="Tabel surt"/>
      <sheetName val="P 90% "/>
      <sheetName val="P 10% "/>
      <sheetName val="90% + 10% "/>
      <sheetName val="dpa 22"/>
      <sheetName val="Sheet1"/>
      <sheetName val="pORSI"/>
      <sheetName val="Mei 22"/>
      <sheetName val="Juni 22"/>
      <sheetName val="Juli 22"/>
      <sheetName val="Agust 22"/>
    </sheetNames>
    <sheetDataSet>
      <sheetData sheetId="0">
        <row r="2">
          <cell r="A2" t="str">
            <v>Periode</v>
          </cell>
        </row>
        <row r="3">
          <cell r="M3">
            <v>17093417233</v>
          </cell>
          <cell r="N3">
            <v>9661128221</v>
          </cell>
        </row>
        <row r="4">
          <cell r="G4">
            <v>26754545454</v>
          </cell>
        </row>
        <row r="5">
          <cell r="G5">
            <v>-5572344673</v>
          </cell>
          <cell r="M5">
            <v>1310129659</v>
          </cell>
          <cell r="N5">
            <v>4262215012</v>
          </cell>
        </row>
        <row r="9">
          <cell r="D9">
            <v>43980</v>
          </cell>
          <cell r="I9">
            <v>41171355548</v>
          </cell>
          <cell r="J9">
            <v>42015270308</v>
          </cell>
          <cell r="M9">
            <v>48355127425</v>
          </cell>
          <cell r="N9">
            <v>34831498431</v>
          </cell>
        </row>
        <row r="10">
          <cell r="G10">
            <v>83186625856</v>
          </cell>
          <cell r="H10">
            <v>44008</v>
          </cell>
        </row>
        <row r="11">
          <cell r="D11">
            <v>44012</v>
          </cell>
          <cell r="G11">
            <v>100422586767</v>
          </cell>
          <cell r="M11">
            <v>68448565693</v>
          </cell>
          <cell r="N11">
            <v>43075818417</v>
          </cell>
        </row>
        <row r="12">
          <cell r="G12">
            <v>11101797343</v>
          </cell>
        </row>
        <row r="14">
          <cell r="D14">
            <v>44071</v>
          </cell>
          <cell r="G14">
            <v>21014626917</v>
          </cell>
          <cell r="H14">
            <v>44194</v>
          </cell>
          <cell r="M14">
            <v>13328059665</v>
          </cell>
          <cell r="N14">
            <v>7686567252</v>
          </cell>
        </row>
        <row r="15">
          <cell r="G15">
            <v>2322064116</v>
          </cell>
          <cell r="M15">
            <v>1480895518</v>
          </cell>
          <cell r="N15">
            <v>841168598</v>
          </cell>
        </row>
        <row r="17">
          <cell r="D17">
            <v>44102</v>
          </cell>
          <cell r="G17">
            <v>16405267451</v>
          </cell>
          <cell r="H17">
            <v>44194</v>
          </cell>
          <cell r="M17">
            <v>10204056212.75</v>
          </cell>
          <cell r="N17">
            <v>6201211238.4499998</v>
          </cell>
        </row>
        <row r="18">
          <cell r="G18">
            <v>2271725853</v>
          </cell>
          <cell r="M18">
            <v>1402423620</v>
          </cell>
          <cell r="N18">
            <v>869302233</v>
          </cell>
        </row>
        <row r="20">
          <cell r="D20">
            <v>44149</v>
          </cell>
          <cell r="G20">
            <v>15285438899</v>
          </cell>
          <cell r="H20">
            <v>44194</v>
          </cell>
          <cell r="M20">
            <v>9084227660.75</v>
          </cell>
          <cell r="N20">
            <v>6201211238.4499998</v>
          </cell>
        </row>
        <row r="21">
          <cell r="G21">
            <v>2150176902</v>
          </cell>
          <cell r="M21">
            <v>1277998226</v>
          </cell>
          <cell r="N21">
            <v>872178676</v>
          </cell>
        </row>
        <row r="23">
          <cell r="D23">
            <v>44173</v>
          </cell>
          <cell r="G23">
            <v>2987985649</v>
          </cell>
          <cell r="H23">
            <v>44195</v>
          </cell>
          <cell r="M23">
            <v>2267718083</v>
          </cell>
          <cell r="N23">
            <v>720267565.79999924</v>
          </cell>
        </row>
        <row r="24">
          <cell r="G24">
            <v>2168810885</v>
          </cell>
          <cell r="M24">
            <v>1326527063</v>
          </cell>
          <cell r="N24">
            <v>842283823</v>
          </cell>
        </row>
        <row r="26">
          <cell r="D26">
            <v>44175</v>
          </cell>
          <cell r="G26">
            <v>3387972386</v>
          </cell>
          <cell r="H26">
            <v>44195</v>
          </cell>
          <cell r="M26">
            <v>2411485912</v>
          </cell>
          <cell r="N26">
            <v>976486473.79999924</v>
          </cell>
        </row>
        <row r="27">
          <cell r="G27">
            <v>2215025675</v>
          </cell>
          <cell r="M27">
            <v>1342501266</v>
          </cell>
          <cell r="N27">
            <v>872524409</v>
          </cell>
        </row>
        <row r="29">
          <cell r="D29">
            <v>44182</v>
          </cell>
          <cell r="G29">
            <v>8576896570</v>
          </cell>
          <cell r="H29">
            <v>44195</v>
          </cell>
          <cell r="M29">
            <v>9598203925.75</v>
          </cell>
          <cell r="N29">
            <v>-1021307355.75</v>
          </cell>
        </row>
        <row r="30">
          <cell r="G30">
            <v>3256480513</v>
          </cell>
          <cell r="M30">
            <v>2409665087</v>
          </cell>
          <cell r="N30">
            <v>846815426</v>
          </cell>
        </row>
        <row r="32">
          <cell r="D32">
            <v>44182</v>
          </cell>
          <cell r="G32">
            <v>12619897735</v>
          </cell>
          <cell r="H32">
            <v>44195</v>
          </cell>
          <cell r="M32">
            <v>13384986182.75</v>
          </cell>
          <cell r="N32">
            <v>-765088447.75</v>
          </cell>
        </row>
        <row r="34">
          <cell r="E34">
            <v>-3848578768</v>
          </cell>
          <cell r="G34">
            <v>-3848578768</v>
          </cell>
          <cell r="M34">
            <v>-4719127941.25</v>
          </cell>
          <cell r="N34">
            <v>870549173.25</v>
          </cell>
        </row>
      </sheetData>
      <sheetData sheetId="1">
        <row r="3">
          <cell r="D3">
            <v>44368</v>
          </cell>
          <cell r="F3">
            <v>54000000000</v>
          </cell>
          <cell r="G3">
            <v>54000000000</v>
          </cell>
          <cell r="H3">
            <v>44384</v>
          </cell>
          <cell r="L3">
            <v>22689696240</v>
          </cell>
          <cell r="M3">
            <v>31310303760</v>
          </cell>
        </row>
        <row r="5">
          <cell r="D5">
            <v>44439</v>
          </cell>
          <cell r="G5">
            <v>60480659406</v>
          </cell>
          <cell r="H5">
            <v>44455</v>
          </cell>
          <cell r="L5">
            <v>17464145093</v>
          </cell>
          <cell r="M5">
            <v>43016514313</v>
          </cell>
        </row>
        <row r="6">
          <cell r="G6">
            <v>6673072559</v>
          </cell>
          <cell r="L6">
            <v>1940460566</v>
          </cell>
          <cell r="M6">
            <v>4732611993</v>
          </cell>
        </row>
        <row r="8">
          <cell r="D8">
            <v>44462</v>
          </cell>
          <cell r="E8">
            <v>13285816355</v>
          </cell>
          <cell r="L8">
            <v>3842900486</v>
          </cell>
          <cell r="M8">
            <v>9442915869</v>
          </cell>
        </row>
        <row r="9">
          <cell r="E9">
            <v>1431271292</v>
          </cell>
          <cell r="L9">
            <v>426988943</v>
          </cell>
          <cell r="M9">
            <v>1004282349</v>
          </cell>
        </row>
        <row r="10">
          <cell r="F10">
            <v>14717087647</v>
          </cell>
        </row>
        <row r="11">
          <cell r="D11">
            <v>44462</v>
          </cell>
          <cell r="E11">
            <v>1748416222</v>
          </cell>
          <cell r="L11">
            <v>1796087291</v>
          </cell>
          <cell r="M11">
            <v>-47671069</v>
          </cell>
        </row>
        <row r="12">
          <cell r="E12">
            <v>790934310</v>
          </cell>
          <cell r="L12">
            <v>451672991</v>
          </cell>
          <cell r="M12">
            <v>339261319</v>
          </cell>
        </row>
        <row r="13">
          <cell r="F13">
            <v>2539350532</v>
          </cell>
        </row>
        <row r="14">
          <cell r="D14">
            <v>44487</v>
          </cell>
          <cell r="E14">
            <v>3246687389</v>
          </cell>
          <cell r="L14">
            <v>1614109527</v>
          </cell>
          <cell r="M14">
            <v>1632578862</v>
          </cell>
        </row>
        <row r="15">
          <cell r="E15">
            <v>957686126</v>
          </cell>
          <cell r="L15">
            <v>431453128</v>
          </cell>
          <cell r="M15">
            <v>526232998</v>
          </cell>
        </row>
        <row r="16">
          <cell r="F16">
            <v>4204373515</v>
          </cell>
        </row>
        <row r="17">
          <cell r="D17">
            <v>44519</v>
          </cell>
          <cell r="E17">
            <v>1791683341</v>
          </cell>
          <cell r="L17">
            <v>268551952</v>
          </cell>
          <cell r="M17">
            <v>1523131389</v>
          </cell>
        </row>
        <row r="18">
          <cell r="E18">
            <v>1391895752</v>
          </cell>
          <cell r="L18">
            <v>534054578</v>
          </cell>
          <cell r="M18">
            <v>857841174</v>
          </cell>
        </row>
        <row r="19">
          <cell r="F19">
            <v>3183579093</v>
          </cell>
        </row>
        <row r="20">
          <cell r="D20">
            <v>44544</v>
          </cell>
          <cell r="E20">
            <v>2649667798</v>
          </cell>
          <cell r="L20">
            <v>-764640691</v>
          </cell>
          <cell r="M20">
            <v>3414308489</v>
          </cell>
        </row>
        <row r="21">
          <cell r="E21">
            <v>1487631092</v>
          </cell>
          <cell r="L21">
            <v>419255395</v>
          </cell>
          <cell r="M21">
            <v>1068375697</v>
          </cell>
        </row>
        <row r="22">
          <cell r="F22">
            <v>4137298890</v>
          </cell>
        </row>
        <row r="23">
          <cell r="D23">
            <v>44547</v>
          </cell>
          <cell r="E23">
            <v>15239002925</v>
          </cell>
          <cell r="L23">
            <v>10846348724</v>
          </cell>
          <cell r="M23">
            <v>4392654201</v>
          </cell>
        </row>
        <row r="24">
          <cell r="E24">
            <v>2881125037</v>
          </cell>
          <cell r="L24">
            <v>1709365330</v>
          </cell>
          <cell r="M24">
            <v>1171759707</v>
          </cell>
        </row>
        <row r="25">
          <cell r="F25">
            <v>18120127962</v>
          </cell>
        </row>
        <row r="26">
          <cell r="D26">
            <v>44547</v>
          </cell>
          <cell r="E26">
            <v>67585701525</v>
          </cell>
          <cell r="L26">
            <v>64818761366</v>
          </cell>
          <cell r="M26">
            <v>2766940160</v>
          </cell>
        </row>
        <row r="28">
          <cell r="F28">
            <v>67585701525</v>
          </cell>
        </row>
        <row r="30">
          <cell r="D30">
            <v>44895</v>
          </cell>
          <cell r="F30">
            <v>15734726010</v>
          </cell>
          <cell r="G30">
            <v>15734726010</v>
          </cell>
          <cell r="H30">
            <v>44910</v>
          </cell>
          <cell r="L30">
            <v>10012061342</v>
          </cell>
          <cell r="M30">
            <v>5722664668</v>
          </cell>
        </row>
        <row r="33">
          <cell r="F33">
            <v>70497677723</v>
          </cell>
          <cell r="G33">
            <v>70497677723</v>
          </cell>
          <cell r="L33">
            <v>70497677723</v>
          </cell>
        </row>
        <row r="36">
          <cell r="G36">
            <v>321873654862</v>
          </cell>
        </row>
      </sheetData>
      <sheetData sheetId="2">
        <row r="3">
          <cell r="E3">
            <v>44673</v>
          </cell>
          <cell r="L3">
            <v>72434410000</v>
          </cell>
          <cell r="M3">
            <v>44679</v>
          </cell>
          <cell r="S3">
            <v>14595165378</v>
          </cell>
          <cell r="T3">
            <v>8487322707</v>
          </cell>
          <cell r="U3">
            <v>22715422837</v>
          </cell>
          <cell r="V3">
            <v>26636499079</v>
          </cell>
        </row>
        <row r="5">
          <cell r="E5">
            <v>44721</v>
          </cell>
          <cell r="K5">
            <v>83876533778</v>
          </cell>
          <cell r="S5">
            <v>33888786008</v>
          </cell>
          <cell r="T5">
            <v>12594229259</v>
          </cell>
          <cell r="U5">
            <v>11031605412</v>
          </cell>
          <cell r="V5">
            <v>26361913099</v>
          </cell>
        </row>
        <row r="6">
          <cell r="K6">
            <v>9297023204</v>
          </cell>
          <cell r="S6">
            <v>3780166483</v>
          </cell>
          <cell r="T6">
            <v>-24982708054</v>
          </cell>
          <cell r="U6">
            <v>1210988119</v>
          </cell>
          <cell r="V6">
            <v>29288576656</v>
          </cell>
        </row>
        <row r="8">
          <cell r="E8">
            <v>44747</v>
          </cell>
          <cell r="L8">
            <v>23329524874</v>
          </cell>
          <cell r="M8">
            <v>44770</v>
          </cell>
          <cell r="S8">
            <v>1775997278</v>
          </cell>
          <cell r="T8">
            <v>3134043195</v>
          </cell>
          <cell r="U8">
            <v>4440780599</v>
          </cell>
          <cell r="V8">
            <v>11648389575</v>
          </cell>
        </row>
        <row r="9">
          <cell r="S9">
            <v>199625190</v>
          </cell>
          <cell r="T9">
            <v>345295622</v>
          </cell>
          <cell r="U9">
            <v>491127907</v>
          </cell>
          <cell r="V9">
            <v>1294265508</v>
          </cell>
        </row>
        <row r="11">
          <cell r="E11">
            <v>44789</v>
          </cell>
          <cell r="L11">
            <v>22909938731</v>
          </cell>
          <cell r="M11">
            <v>44805</v>
          </cell>
          <cell r="S11">
            <v>1771864576</v>
          </cell>
          <cell r="T11">
            <v>3158488488</v>
          </cell>
          <cell r="U11">
            <v>4950687138</v>
          </cell>
          <cell r="V11">
            <v>10745638982</v>
          </cell>
        </row>
        <row r="12">
          <cell r="S12">
            <v>201249448</v>
          </cell>
          <cell r="T12">
            <v>342349470</v>
          </cell>
          <cell r="U12">
            <v>545700742</v>
          </cell>
          <cell r="V12">
            <v>1193959887</v>
          </cell>
        </row>
        <row r="14">
          <cell r="E14">
            <v>44833</v>
          </cell>
          <cell r="L14">
            <v>12459447111</v>
          </cell>
          <cell r="M14">
            <v>44846</v>
          </cell>
          <cell r="S14">
            <v>4310305290</v>
          </cell>
          <cell r="T14">
            <v>-1701793672</v>
          </cell>
          <cell r="U14">
            <v>3385084323</v>
          </cell>
          <cell r="V14">
            <v>4499752950</v>
          </cell>
        </row>
        <row r="15">
          <cell r="S15">
            <v>200323817</v>
          </cell>
          <cell r="T15">
            <v>345182343</v>
          </cell>
          <cell r="U15">
            <v>654719473</v>
          </cell>
          <cell r="V15">
            <v>765872587</v>
          </cell>
        </row>
        <row r="17">
          <cell r="E17">
            <v>44834</v>
          </cell>
          <cell r="L17">
            <v>21973072946</v>
          </cell>
          <cell r="M17">
            <v>44845</v>
          </cell>
          <cell r="S17">
            <v>12841698026</v>
          </cell>
          <cell r="T17">
            <v>-1705941257</v>
          </cell>
          <cell r="U17">
            <v>1914926180</v>
          </cell>
          <cell r="V17">
            <v>6004339657</v>
          </cell>
        </row>
        <row r="18">
          <cell r="S18">
            <v>1147489084</v>
          </cell>
          <cell r="T18">
            <v>345376540</v>
          </cell>
          <cell r="U18">
            <v>492135828</v>
          </cell>
          <cell r="V18">
            <v>933048888</v>
          </cell>
        </row>
        <row r="20">
          <cell r="E20">
            <v>44869</v>
          </cell>
          <cell r="L20">
            <v>9363977483.5</v>
          </cell>
          <cell r="M20">
            <v>44887</v>
          </cell>
          <cell r="S20">
            <v>6863548612</v>
          </cell>
          <cell r="T20">
            <v>-6553588911</v>
          </cell>
          <cell r="U20">
            <v>1762524811</v>
          </cell>
          <cell r="V20">
            <v>4911657211</v>
          </cell>
        </row>
        <row r="21">
          <cell r="S21">
            <v>202645140.5</v>
          </cell>
          <cell r="T21">
            <v>343843393</v>
          </cell>
          <cell r="U21">
            <v>755807462</v>
          </cell>
          <cell r="V21">
            <v>1077539765</v>
          </cell>
        </row>
        <row r="23">
          <cell r="E23">
            <v>44897</v>
          </cell>
          <cell r="L23">
            <v>13295132831.799999</v>
          </cell>
          <cell r="M23">
            <v>44909</v>
          </cell>
          <cell r="S23">
            <v>-358696966</v>
          </cell>
          <cell r="T23">
            <v>1219803163</v>
          </cell>
          <cell r="U23">
            <v>2981107075</v>
          </cell>
          <cell r="V23">
            <v>9452899560</v>
          </cell>
        </row>
        <row r="26">
          <cell r="E26">
            <v>44911</v>
          </cell>
          <cell r="L26">
            <v>53675678455.099998</v>
          </cell>
          <cell r="M26">
            <v>44923</v>
          </cell>
          <cell r="S26">
            <v>34874397757</v>
          </cell>
          <cell r="T26">
            <v>875672652</v>
          </cell>
          <cell r="U26">
            <v>5973695591</v>
          </cell>
          <cell r="V26">
            <v>5141729931</v>
          </cell>
        </row>
        <row r="27">
          <cell r="S27">
            <v>4138312327</v>
          </cell>
          <cell r="T27">
            <v>346026259</v>
          </cell>
          <cell r="U27">
            <v>1222740538</v>
          </cell>
          <cell r="V27">
            <v>1103103401</v>
          </cell>
        </row>
        <row r="29">
          <cell r="E29">
            <v>44911</v>
          </cell>
          <cell r="L29">
            <v>29431960165</v>
          </cell>
          <cell r="M29">
            <v>44923</v>
          </cell>
          <cell r="S29">
            <v>-556987317</v>
          </cell>
          <cell r="T29">
            <v>899234627</v>
          </cell>
          <cell r="U29">
            <v>23942421614</v>
          </cell>
          <cell r="V29">
            <v>5147291241</v>
          </cell>
        </row>
        <row r="32">
          <cell r="E32">
            <v>45266</v>
          </cell>
          <cell r="L32">
            <v>46441290106</v>
          </cell>
          <cell r="M32">
            <v>45278</v>
          </cell>
          <cell r="S32">
            <v>46441290106</v>
          </cell>
        </row>
        <row r="33">
          <cell r="E33">
            <v>45484</v>
          </cell>
          <cell r="L33">
            <v>1773736876</v>
          </cell>
          <cell r="M33">
            <v>45497</v>
          </cell>
          <cell r="S33">
            <v>1773736876</v>
          </cell>
        </row>
      </sheetData>
      <sheetData sheetId="3"/>
      <sheetData sheetId="4">
        <row r="35">
          <cell r="C35">
            <v>8626073423</v>
          </cell>
        </row>
      </sheetData>
      <sheetData sheetId="5">
        <row r="43">
          <cell r="K43">
            <v>10209901376</v>
          </cell>
        </row>
      </sheetData>
      <sheetData sheetId="6">
        <row r="43">
          <cell r="J43">
            <v>2224105260</v>
          </cell>
        </row>
      </sheetData>
      <sheetData sheetId="7"/>
      <sheetData sheetId="8"/>
      <sheetData sheetId="9"/>
      <sheetData sheetId="10"/>
      <sheetData sheetId="11">
        <row r="6">
          <cell r="D6">
            <v>6216777877</v>
          </cell>
        </row>
      </sheetData>
      <sheetData sheetId="12">
        <row r="6">
          <cell r="D6">
            <v>6722551714</v>
          </cell>
        </row>
      </sheetData>
      <sheetData sheetId="13">
        <row r="6">
          <cell r="D6">
            <v>7695389613</v>
          </cell>
        </row>
      </sheetData>
      <sheetData sheetId="14">
        <row r="6">
          <cell r="D6">
            <v>14756624206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Tabel surt"/>
      <sheetName val="P 90% "/>
      <sheetName val="P 10% "/>
      <sheetName val="100%"/>
      <sheetName val="dpa 23"/>
      <sheetName val="Sheet1"/>
      <sheetName val="rek invoice lrt"/>
      <sheetName val="real+prog"/>
      <sheetName val="pORSI"/>
      <sheetName val="Mei 22"/>
      <sheetName val="Juni 22"/>
      <sheetName val="Juli 22"/>
      <sheetName val="Agust 22"/>
    </sheetNames>
    <sheetDataSet>
      <sheetData sheetId="0">
        <row r="3">
          <cell r="K3">
            <v>45033</v>
          </cell>
          <cell r="R3">
            <v>70000000000</v>
          </cell>
          <cell r="T3">
            <v>45071</v>
          </cell>
          <cell r="AG3">
            <v>10967694339.714287</v>
          </cell>
          <cell r="AH3">
            <v>9032305660.2857151</v>
          </cell>
          <cell r="AI3">
            <v>27419235849.285717</v>
          </cell>
          <cell r="AJ3">
            <v>22580764150.714287</v>
          </cell>
        </row>
        <row r="5">
          <cell r="Q5">
            <v>27165209395</v>
          </cell>
          <cell r="AG5">
            <v>11625394114</v>
          </cell>
          <cell r="AH5">
            <v>495052736</v>
          </cell>
          <cell r="AI5">
            <v>2162741140</v>
          </cell>
          <cell r="AJ5">
            <v>12882021405</v>
          </cell>
        </row>
        <row r="8">
          <cell r="Q8">
            <v>17845108230</v>
          </cell>
          <cell r="AG8">
            <v>1733343345</v>
          </cell>
          <cell r="AH8">
            <v>528446084</v>
          </cell>
          <cell r="AI8">
            <v>3480648059</v>
          </cell>
          <cell r="AJ8">
            <v>12102670742</v>
          </cell>
        </row>
        <row r="11">
          <cell r="Q11">
            <v>22404169822</v>
          </cell>
          <cell r="AG11">
            <v>1175784106</v>
          </cell>
          <cell r="AH11">
            <v>430843803</v>
          </cell>
          <cell r="AI11">
            <v>7548622177</v>
          </cell>
          <cell r="AJ11">
            <v>13248919736</v>
          </cell>
        </row>
        <row r="14">
          <cell r="Q14">
            <v>18044882042</v>
          </cell>
          <cell r="AG14">
            <v>1195412384</v>
          </cell>
          <cell r="AH14">
            <v>420759022</v>
          </cell>
          <cell r="AI14">
            <v>5460117138</v>
          </cell>
          <cell r="AJ14">
            <v>10968593498</v>
          </cell>
        </row>
        <row r="17">
          <cell r="K17">
            <v>45127</v>
          </cell>
          <cell r="Q17">
            <v>20336257749</v>
          </cell>
          <cell r="T17">
            <v>45141</v>
          </cell>
          <cell r="AG17">
            <v>1210059549.8078251</v>
          </cell>
          <cell r="AH17">
            <v>364349345.19217491</v>
          </cell>
          <cell r="AI17">
            <v>6212217744.1921749</v>
          </cell>
          <cell r="AJ17">
            <v>12549631109.807825</v>
          </cell>
        </row>
        <row r="20">
          <cell r="K20">
            <v>45161</v>
          </cell>
          <cell r="Q20">
            <v>19612469871</v>
          </cell>
          <cell r="T20">
            <v>45174</v>
          </cell>
          <cell r="AG20">
            <v>1883501187.0621204</v>
          </cell>
          <cell r="AH20">
            <v>478574709.73788071</v>
          </cell>
          <cell r="AI20">
            <v>5059378445.9378796</v>
          </cell>
          <cell r="AJ20">
            <v>12191015528.262119</v>
          </cell>
        </row>
        <row r="23">
          <cell r="K23">
            <v>45187</v>
          </cell>
          <cell r="Q23">
            <v>27030236908</v>
          </cell>
          <cell r="T23">
            <v>45196</v>
          </cell>
          <cell r="AG23">
            <v>12004559187</v>
          </cell>
          <cell r="AH23">
            <v>-343817041</v>
          </cell>
          <cell r="AI23">
            <v>4988904270</v>
          </cell>
          <cell r="AJ23">
            <v>10380590492</v>
          </cell>
        </row>
        <row r="26">
          <cell r="K26">
            <v>45208</v>
          </cell>
          <cell r="Q26">
            <v>16848710264</v>
          </cell>
          <cell r="T26">
            <v>45215</v>
          </cell>
          <cell r="AG26">
            <v>770791687</v>
          </cell>
          <cell r="AH26">
            <v>-408122507</v>
          </cell>
          <cell r="AI26">
            <v>5909080414</v>
          </cell>
          <cell r="AJ26">
            <v>10576960670</v>
          </cell>
        </row>
        <row r="29">
          <cell r="K29">
            <v>45237</v>
          </cell>
          <cell r="Q29">
            <v>7486485564</v>
          </cell>
          <cell r="T29">
            <v>45247</v>
          </cell>
          <cell r="AG29">
            <v>-293196300</v>
          </cell>
          <cell r="AH29">
            <v>2390243863</v>
          </cell>
          <cell r="AI29">
            <v>1083012243</v>
          </cell>
          <cell r="AJ29">
            <v>4306425759</v>
          </cell>
        </row>
        <row r="32">
          <cell r="K32">
            <v>45266</v>
          </cell>
          <cell r="Q32">
            <v>13999127118</v>
          </cell>
          <cell r="T32">
            <v>45273</v>
          </cell>
          <cell r="AG32">
            <v>-238960560</v>
          </cell>
          <cell r="AH32">
            <v>-1329546544</v>
          </cell>
          <cell r="AI32">
            <v>6031390728</v>
          </cell>
          <cell r="AJ32">
            <v>9536243494</v>
          </cell>
        </row>
        <row r="35">
          <cell r="K35">
            <v>45275</v>
          </cell>
          <cell r="Q35">
            <v>58105933090</v>
          </cell>
          <cell r="T35">
            <v>45282</v>
          </cell>
          <cell r="AG35">
            <v>30970330050</v>
          </cell>
          <cell r="AH35">
            <v>-1408393570</v>
          </cell>
          <cell r="AI35">
            <v>20719006026</v>
          </cell>
          <cell r="AJ35">
            <v>7824990583</v>
          </cell>
        </row>
        <row r="38">
          <cell r="K38">
            <v>45275</v>
          </cell>
          <cell r="Q38">
            <v>27154395923.400002</v>
          </cell>
          <cell r="T38">
            <v>45282</v>
          </cell>
          <cell r="AG38">
            <v>-167855344</v>
          </cell>
          <cell r="AH38">
            <v>-5146254245</v>
          </cell>
          <cell r="AI38">
            <v>24377083090</v>
          </cell>
          <cell r="AJ38">
            <v>8091422423</v>
          </cell>
        </row>
        <row r="42">
          <cell r="K42">
            <v>45621</v>
          </cell>
          <cell r="Q42">
            <v>105884366450</v>
          </cell>
          <cell r="T42">
            <v>45637</v>
          </cell>
          <cell r="AG42">
            <v>71059446743.714523</v>
          </cell>
          <cell r="AH42">
            <v>34824919706.285477</v>
          </cell>
        </row>
        <row r="48">
          <cell r="S48">
            <v>451917352427.40002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Tabel surt"/>
      <sheetName val="P 90% "/>
      <sheetName val="P 10% "/>
      <sheetName val="100%"/>
      <sheetName val="DPA 2024"/>
      <sheetName val="porsi Pr Sar"/>
      <sheetName val="rek invoice lrt"/>
      <sheetName val="pORSI"/>
      <sheetName val="Mei 22"/>
      <sheetName val="Juni 22"/>
      <sheetName val="Juli 22"/>
      <sheetName val="Agust 22"/>
      <sheetName val="Sheet1"/>
    </sheetNames>
    <sheetDataSet>
      <sheetData sheetId="0">
        <row r="3">
          <cell r="Q3">
            <v>59278214365</v>
          </cell>
          <cell r="AJ3">
            <v>7998811131.1325397</v>
          </cell>
          <cell r="AK3">
            <v>1155656472.232796</v>
          </cell>
          <cell r="AL3">
            <v>23395211113.1534</v>
          </cell>
          <cell r="AM3">
            <v>26728535648.240005</v>
          </cell>
        </row>
        <row r="5">
          <cell r="K5">
            <v>45464</v>
          </cell>
          <cell r="Q5">
            <v>16351150727</v>
          </cell>
          <cell r="AJ5">
            <v>2009959904</v>
          </cell>
          <cell r="AK5">
            <v>417262103</v>
          </cell>
          <cell r="AL5">
            <v>2382559166</v>
          </cell>
          <cell r="AM5">
            <v>11541369553.6</v>
          </cell>
        </row>
        <row r="8">
          <cell r="K8">
            <v>45464</v>
          </cell>
          <cell r="Q8">
            <v>20574093500</v>
          </cell>
          <cell r="AJ8">
            <v>2036707323</v>
          </cell>
          <cell r="AK8">
            <v>455478623</v>
          </cell>
          <cell r="AL8">
            <v>7229988719</v>
          </cell>
          <cell r="AM8">
            <v>10851918836</v>
          </cell>
        </row>
        <row r="11">
          <cell r="K11">
            <v>45464</v>
          </cell>
          <cell r="Q11">
            <v>21976574616</v>
          </cell>
          <cell r="AJ11">
            <v>1924613654</v>
          </cell>
          <cell r="AK11">
            <v>436070952</v>
          </cell>
          <cell r="AL11">
            <v>8740915594</v>
          </cell>
          <cell r="AM11">
            <v>10874974416</v>
          </cell>
        </row>
        <row r="14">
          <cell r="K14">
            <v>45464</v>
          </cell>
          <cell r="Q14">
            <v>17462631844</v>
          </cell>
          <cell r="AJ14">
            <v>2030185626</v>
          </cell>
          <cell r="AK14">
            <v>418378666</v>
          </cell>
          <cell r="AL14">
            <v>4591078699</v>
          </cell>
          <cell r="AM14">
            <v>10422988852</v>
          </cell>
        </row>
        <row r="17">
          <cell r="K17">
            <v>45491</v>
          </cell>
          <cell r="Q17">
            <v>17493641157</v>
          </cell>
          <cell r="AJ17">
            <v>2072768308</v>
          </cell>
          <cell r="AK17">
            <v>459433580</v>
          </cell>
          <cell r="AL17">
            <v>3860822948</v>
          </cell>
          <cell r="AM17">
            <v>11100616321</v>
          </cell>
        </row>
        <row r="20">
          <cell r="K20">
            <v>45512</v>
          </cell>
          <cell r="Q20">
            <v>22917834138</v>
          </cell>
          <cell r="T20">
            <v>45533</v>
          </cell>
          <cell r="AJ20">
            <v>1371210422</v>
          </cell>
          <cell r="AK20">
            <v>357578104</v>
          </cell>
          <cell r="AL20">
            <v>9701663703</v>
          </cell>
          <cell r="AM20">
            <v>11487381908</v>
          </cell>
        </row>
        <row r="23">
          <cell r="K23">
            <v>45545</v>
          </cell>
          <cell r="Q23">
            <v>23496283994</v>
          </cell>
          <cell r="T23">
            <v>45562</v>
          </cell>
          <cell r="AJ23">
            <v>12314185685</v>
          </cell>
          <cell r="AK23">
            <v>288347582</v>
          </cell>
          <cell r="AL23">
            <v>1518208312</v>
          </cell>
          <cell r="AM23">
            <v>9375542415</v>
          </cell>
        </row>
        <row r="26">
          <cell r="K26">
            <v>45581</v>
          </cell>
          <cell r="Q26">
            <v>13240790285</v>
          </cell>
          <cell r="T26">
            <v>45610</v>
          </cell>
          <cell r="AJ26">
            <v>699269061</v>
          </cell>
          <cell r="AK26">
            <v>43825995</v>
          </cell>
          <cell r="AL26">
            <v>3729043684</v>
          </cell>
          <cell r="AM26">
            <v>8768651546</v>
          </cell>
        </row>
        <row r="29">
          <cell r="K29">
            <v>45614</v>
          </cell>
          <cell r="Q29">
            <v>8913185910</v>
          </cell>
          <cell r="T29">
            <v>45627</v>
          </cell>
          <cell r="AL29">
            <v>3192684106</v>
          </cell>
          <cell r="AM29">
            <v>5720501804</v>
          </cell>
        </row>
        <row r="32">
          <cell r="K32">
            <v>45630</v>
          </cell>
          <cell r="Q32">
            <v>6010220880</v>
          </cell>
          <cell r="T32">
            <v>45637</v>
          </cell>
          <cell r="AL32">
            <v>-320640540</v>
          </cell>
          <cell r="AM32">
            <v>6330861420</v>
          </cell>
        </row>
        <row r="35">
          <cell r="K35">
            <v>45639</v>
          </cell>
          <cell r="Q35">
            <v>164833332969</v>
          </cell>
          <cell r="T35">
            <v>45646</v>
          </cell>
          <cell r="AJ35">
            <v>106841817493</v>
          </cell>
          <cell r="AK35">
            <v>36570961421</v>
          </cell>
          <cell r="AL35">
            <v>14709766533</v>
          </cell>
          <cell r="AM35">
            <v>6710787522</v>
          </cell>
        </row>
        <row r="38">
          <cell r="K38">
            <v>45639</v>
          </cell>
          <cell r="Q38">
            <v>46604170448.099998</v>
          </cell>
          <cell r="T38">
            <v>45646</v>
          </cell>
          <cell r="AJ38">
            <v>9058747468</v>
          </cell>
          <cell r="AK38">
            <v>2923860135</v>
          </cell>
          <cell r="AL38">
            <v>29622172566</v>
          </cell>
          <cell r="AM38">
            <v>4999390281</v>
          </cell>
        </row>
        <row r="41">
          <cell r="K41">
            <v>45979</v>
          </cell>
          <cell r="Q41">
            <v>2120518427</v>
          </cell>
          <cell r="T41">
            <v>46001</v>
          </cell>
          <cell r="AJ41">
            <v>1647751857</v>
          </cell>
          <cell r="AK41">
            <v>-194308632</v>
          </cell>
          <cell r="AL41">
            <v>5843063651</v>
          </cell>
          <cell r="AM41">
            <v>-5175988449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P 90% "/>
      <sheetName val="P 10% "/>
      <sheetName val="100%"/>
      <sheetName val="DPA 2025"/>
      <sheetName val="tabel surat"/>
      <sheetName val="porsi Pr Sar"/>
      <sheetName val="rek invoice lrt"/>
      <sheetName val="pORSI"/>
      <sheetName val="Mei 22"/>
      <sheetName val="Juni 22"/>
      <sheetName val="Juli 22"/>
      <sheetName val="Agust 22"/>
    </sheetNames>
    <sheetDataSet>
      <sheetData sheetId="0" refreshError="1">
        <row r="4">
          <cell r="K4">
            <v>45819</v>
          </cell>
          <cell r="U4">
            <v>59663654364</v>
          </cell>
          <cell r="V4">
            <v>45853</v>
          </cell>
          <cell r="W4">
            <v>21991395667</v>
          </cell>
          <cell r="X4">
            <v>32006451881</v>
          </cell>
          <cell r="AA4">
            <v>4569540171</v>
          </cell>
          <cell r="AB4">
            <v>1096266645</v>
          </cell>
        </row>
        <row r="6">
          <cell r="K6">
            <v>45859</v>
          </cell>
          <cell r="S6">
            <v>17325807312</v>
          </cell>
          <cell r="W6">
            <v>2571274536.7065735</v>
          </cell>
          <cell r="X6">
            <v>12751873871.590099</v>
          </cell>
          <cell r="AA6">
            <v>1561605532.6903911</v>
          </cell>
          <cell r="AB6">
            <v>441053371.40990043</v>
          </cell>
        </row>
        <row r="9">
          <cell r="K9">
            <v>45859</v>
          </cell>
          <cell r="S9">
            <v>16384390235</v>
          </cell>
          <cell r="W9">
            <v>2728324244.3040824</v>
          </cell>
          <cell r="X9">
            <v>11680450530.5569</v>
          </cell>
          <cell r="AA9">
            <v>1538688345.7187126</v>
          </cell>
          <cell r="AB9">
            <v>436927114.44309962</v>
          </cell>
        </row>
        <row r="12">
          <cell r="K12">
            <v>45859</v>
          </cell>
          <cell r="S12">
            <v>21142902033</v>
          </cell>
          <cell r="W12">
            <v>7894605417.1446314</v>
          </cell>
          <cell r="X12">
            <v>11452526640.206493</v>
          </cell>
          <cell r="AA12">
            <v>1419381690.268306</v>
          </cell>
          <cell r="AB12">
            <v>376388285.79350644</v>
          </cell>
        </row>
        <row r="15">
          <cell r="K15">
            <v>45859</v>
          </cell>
          <cell r="S15">
            <v>19815762294</v>
          </cell>
          <cell r="V15">
            <v>45867</v>
          </cell>
          <cell r="W15">
            <v>4853714898.8146048</v>
          </cell>
          <cell r="X15">
            <v>12922937828.972506</v>
          </cell>
          <cell r="AA15">
            <v>1618540018.4343174</v>
          </cell>
          <cell r="AB15">
            <v>420569548.02749509</v>
          </cell>
        </row>
        <row r="18">
          <cell r="K18">
            <v>45880</v>
          </cell>
          <cell r="S18">
            <v>17460869470</v>
          </cell>
          <cell r="V18">
            <v>45909</v>
          </cell>
          <cell r="W18">
            <v>3025787060.5609374</v>
          </cell>
          <cell r="X18">
            <v>12457152365.026562</v>
          </cell>
          <cell r="AA18">
            <v>1580433357</v>
          </cell>
          <cell r="AB18">
            <v>397496687</v>
          </cell>
        </row>
        <row r="21">
          <cell r="K21">
            <v>45880</v>
          </cell>
          <cell r="S21">
            <v>22814647872</v>
          </cell>
          <cell r="V21">
            <v>45909</v>
          </cell>
          <cell r="W21">
            <v>8456446570.1929703</v>
          </cell>
          <cell r="X21">
            <v>12288321994.99489</v>
          </cell>
          <cell r="AA21">
            <v>1648687253</v>
          </cell>
          <cell r="AB21">
            <v>421192054</v>
          </cell>
        </row>
        <row r="24">
          <cell r="K24">
            <v>45915</v>
          </cell>
          <cell r="S24">
            <v>21012141132.599998</v>
          </cell>
          <cell r="V24">
            <v>45938</v>
          </cell>
          <cell r="W24">
            <v>7728035056.1763706</v>
          </cell>
          <cell r="X24">
            <v>11851593735.044529</v>
          </cell>
          <cell r="AA24">
            <v>1217544874</v>
          </cell>
          <cell r="AB24">
            <v>214967468</v>
          </cell>
        </row>
        <row r="27">
          <cell r="K27">
            <v>45945</v>
          </cell>
          <cell r="S27">
            <v>17141984714</v>
          </cell>
          <cell r="V27">
            <v>45966</v>
          </cell>
          <cell r="W27">
            <v>3728914624.4986014</v>
          </cell>
          <cell r="X27">
            <v>11829699117.896267</v>
          </cell>
          <cell r="AA27">
            <v>1303477409.4980805</v>
          </cell>
          <cell r="AB27">
            <v>279893562.4228766</v>
          </cell>
        </row>
        <row r="30">
          <cell r="K30">
            <v>45979</v>
          </cell>
          <cell r="S30">
            <v>11400419811</v>
          </cell>
          <cell r="V30">
            <v>45989</v>
          </cell>
          <cell r="W30">
            <v>3399387231.5429783</v>
          </cell>
          <cell r="X30">
            <v>7333981932.5946903</v>
          </cell>
          <cell r="AA30">
            <v>500542320</v>
          </cell>
          <cell r="AB30">
            <v>166508327</v>
          </cell>
        </row>
        <row r="33">
          <cell r="K33">
            <v>45999</v>
          </cell>
          <cell r="S33">
            <v>169860720449</v>
          </cell>
          <cell r="V33">
            <v>46010</v>
          </cell>
          <cell r="W33">
            <v>19768069802.571281</v>
          </cell>
          <cell r="X33">
            <v>9357234905.9778023</v>
          </cell>
          <cell r="AA33">
            <v>108382718257.84303</v>
          </cell>
          <cell r="AB33">
            <v>32352697481.957253</v>
          </cell>
        </row>
        <row r="36">
          <cell r="K36">
            <v>46003</v>
          </cell>
          <cell r="S36">
            <v>26783726465</v>
          </cell>
          <cell r="V36">
            <v>46015</v>
          </cell>
          <cell r="W36">
            <v>6738138834</v>
          </cell>
          <cell r="X36">
            <v>5901421229.33424</v>
          </cell>
          <cell r="AA36">
            <v>10653761346.14732</v>
          </cell>
          <cell r="AB36">
            <v>3490405055.3040495</v>
          </cell>
        </row>
        <row r="39">
          <cell r="K39">
            <v>46003</v>
          </cell>
          <cell r="S39">
            <v>52568969099.714645</v>
          </cell>
          <cell r="V39">
            <v>46015</v>
          </cell>
          <cell r="W39">
            <v>33090222159</v>
          </cell>
          <cell r="X39">
            <v>5913088929.3967009</v>
          </cell>
          <cell r="AA39">
            <v>9817681721.8965549</v>
          </cell>
          <cell r="AB39">
            <v>3747976289.2777586</v>
          </cell>
        </row>
        <row r="44">
          <cell r="K44">
            <v>46177</v>
          </cell>
          <cell r="S44">
            <v>-7291143734.8301926</v>
          </cell>
          <cell r="V44">
            <v>46192</v>
          </cell>
          <cell r="W44">
            <v>3267365715.901535</v>
          </cell>
          <cell r="X44">
            <v>-11967118774.569672</v>
          </cell>
          <cell r="AA44">
            <v>1034035137.8327637</v>
          </cell>
          <cell r="AB44">
            <v>374574186.00518036</v>
          </cell>
        </row>
        <row r="48">
          <cell r="U48">
            <v>466084851517.48444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1">
          <cell r="C61">
            <v>129241681818.41457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  <sheetName val="DPA 2026"/>
      <sheetName val="depresi"/>
      <sheetName val="saldo rek"/>
      <sheetName val="porsi JP - lrt"/>
      <sheetName val="Sheet1"/>
    </sheetNames>
    <sheetDataSet>
      <sheetData sheetId="0">
        <row r="3">
          <cell r="K3">
            <v>46160</v>
          </cell>
          <cell r="P3">
            <v>65057554588.264923</v>
          </cell>
          <cell r="Q3">
            <v>46175</v>
          </cell>
          <cell r="R3">
            <v>26050792014</v>
          </cell>
          <cell r="S3">
            <v>33244171426.821918</v>
          </cell>
          <cell r="W3">
            <v>4632714037.537178</v>
          </cell>
          <cell r="X3">
            <v>1129877109.9058206</v>
          </cell>
        </row>
        <row r="5">
          <cell r="R5">
            <v>3389323377.3880925</v>
          </cell>
          <cell r="S5">
            <v>14561199379</v>
          </cell>
          <cell r="W5">
            <v>1763370968.4045618</v>
          </cell>
          <cell r="X5">
            <v>441956719.37970471</v>
          </cell>
        </row>
        <row r="8">
          <cell r="R8">
            <v>3499841571.6281552</v>
          </cell>
          <cell r="S8">
            <v>12408231918</v>
          </cell>
          <cell r="W8">
            <v>1749046571.8018486</v>
          </cell>
          <cell r="X8">
            <v>387256150.8220048</v>
          </cell>
        </row>
        <row r="11">
          <cell r="R11">
            <v>7684691225.1424208</v>
          </cell>
          <cell r="S11">
            <v>13765046990</v>
          </cell>
          <cell r="W11">
            <v>1429023917.9575298</v>
          </cell>
          <cell r="X11">
            <v>651920607.32179749</v>
          </cell>
        </row>
        <row r="14">
          <cell r="R14">
            <v>5643701367.0275335</v>
          </cell>
          <cell r="S14">
            <v>13289097340</v>
          </cell>
          <cell r="W14">
            <v>1492032525.9411261</v>
          </cell>
          <cell r="X14">
            <v>698553063.56600082</v>
          </cell>
        </row>
        <row r="17">
          <cell r="R17">
            <v>9919576778.045826</v>
          </cell>
          <cell r="S17">
            <v>12960919155.358013</v>
          </cell>
          <cell r="W17">
            <v>1556847830.6315308</v>
          </cell>
          <cell r="X17">
            <v>715073824.6419878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62FC-4320-4801-8D73-7F5E8D158BE4}">
  <dimension ref="A2:J132"/>
  <sheetViews>
    <sheetView zoomScale="70" zoomScaleNormal="70" workbookViewId="0">
      <pane xSplit="2" ySplit="4" topLeftCell="C25" activePane="bottomRight" state="frozen"/>
      <selection pane="topRight" activeCell="C1" sqref="C1"/>
      <selection pane="bottomLeft" activeCell="A5" sqref="A5"/>
      <selection pane="bottomRight" activeCell="A77" sqref="A77"/>
    </sheetView>
  </sheetViews>
  <sheetFormatPr defaultRowHeight="14.5" x14ac:dyDescent="0.35"/>
  <cols>
    <col min="1" max="1" width="8.7265625" style="1"/>
    <col min="2" max="2" width="23.7265625" style="2" bestFit="1" customWidth="1"/>
    <col min="3" max="3" width="16.26953125" style="4" customWidth="1"/>
    <col min="4" max="4" width="19" style="4" customWidth="1"/>
    <col min="5" max="5" width="20.453125" style="3" customWidth="1"/>
    <col min="6" max="6" width="16.90625" style="3" customWidth="1"/>
    <col min="7" max="8" width="16.6328125" style="3" customWidth="1"/>
    <col min="9" max="9" width="16.6328125" style="6" bestFit="1" customWidth="1"/>
    <col min="10" max="10" width="19.36328125" customWidth="1"/>
  </cols>
  <sheetData>
    <row r="2" spans="1:10" x14ac:dyDescent="0.35">
      <c r="A2" s="17" t="s">
        <v>0</v>
      </c>
    </row>
    <row r="3" spans="1:10" s="1" customFormat="1" ht="14.5" customHeight="1" x14ac:dyDescent="0.35">
      <c r="A3" s="109" t="s">
        <v>1</v>
      </c>
      <c r="B3" s="109" t="s">
        <v>8</v>
      </c>
      <c r="C3" s="111" t="s">
        <v>3</v>
      </c>
      <c r="D3" s="111"/>
      <c r="E3" s="111" t="s">
        <v>6</v>
      </c>
      <c r="F3" s="111"/>
      <c r="G3" s="100" t="s">
        <v>2</v>
      </c>
      <c r="H3" s="101"/>
      <c r="I3" s="102"/>
      <c r="J3" s="107" t="s">
        <v>7</v>
      </c>
    </row>
    <row r="4" spans="1:10" s="1" customFormat="1" ht="29.5" thickBot="1" x14ac:dyDescent="0.4">
      <c r="A4" s="110"/>
      <c r="B4" s="110"/>
      <c r="C4" s="24" t="s">
        <v>4</v>
      </c>
      <c r="D4" s="24" t="s">
        <v>5</v>
      </c>
      <c r="E4" s="24" t="s">
        <v>4</v>
      </c>
      <c r="F4" s="24" t="s">
        <v>5</v>
      </c>
      <c r="G4" s="24" t="s">
        <v>29</v>
      </c>
      <c r="H4" s="24" t="s">
        <v>30</v>
      </c>
      <c r="I4" s="24" t="s">
        <v>31</v>
      </c>
      <c r="J4" s="108"/>
    </row>
    <row r="5" spans="1:10" ht="15" thickTop="1" x14ac:dyDescent="0.35">
      <c r="A5" s="23">
        <v>2019</v>
      </c>
      <c r="B5" s="19"/>
      <c r="C5" s="21"/>
      <c r="D5" s="21"/>
      <c r="E5" s="20"/>
      <c r="F5" s="20"/>
      <c r="G5" s="20">
        <f>'[1]2019 - 2020'!$M$3</f>
        <v>17093417233</v>
      </c>
      <c r="H5" s="20">
        <f>'[1]2019 - 2020'!$N$3</f>
        <v>9661128221</v>
      </c>
      <c r="I5" s="20">
        <f>'[1]2019 - 2020'!$G$4</f>
        <v>26754545454</v>
      </c>
      <c r="J5" s="18"/>
    </row>
    <row r="6" spans="1:10" x14ac:dyDescent="0.35">
      <c r="A6" s="28"/>
      <c r="B6" s="9" t="s">
        <v>22</v>
      </c>
      <c r="C6" s="11"/>
      <c r="D6" s="11"/>
      <c r="E6" s="10"/>
      <c r="F6" s="10"/>
      <c r="G6" s="5">
        <f>-'[1]2019 - 2020'!$M$5</f>
        <v>-1310129659</v>
      </c>
      <c r="H6" s="5">
        <f>-'[1]2019 - 2020'!$N$5</f>
        <v>-4262215012</v>
      </c>
      <c r="I6" s="5">
        <f>'[1]2019 - 2020'!$G$5</f>
        <v>-5572344673</v>
      </c>
      <c r="J6" s="8"/>
    </row>
    <row r="7" spans="1:10" s="1" customFormat="1" x14ac:dyDescent="0.35">
      <c r="A7" s="22"/>
      <c r="B7" s="12" t="s">
        <v>32</v>
      </c>
      <c r="C7" s="39">
        <v>10790194404</v>
      </c>
      <c r="D7" s="39">
        <v>4328122969</v>
      </c>
      <c r="E7" s="39">
        <v>4993093169</v>
      </c>
      <c r="F7" s="39">
        <v>1070790240</v>
      </c>
      <c r="G7" s="13">
        <f t="shared" ref="G7:H7" si="0">G5+G6</f>
        <v>15783287574</v>
      </c>
      <c r="H7" s="13">
        <f t="shared" si="0"/>
        <v>5398913209</v>
      </c>
      <c r="I7" s="13">
        <f>I5+I6</f>
        <v>21182200781</v>
      </c>
      <c r="J7" s="7"/>
    </row>
    <row r="8" spans="1:10" x14ac:dyDescent="0.35">
      <c r="A8" s="29"/>
      <c r="B8" s="12" t="s">
        <v>23</v>
      </c>
      <c r="C8" s="93">
        <f>C7+D7</f>
        <v>15118317373</v>
      </c>
      <c r="D8" s="94"/>
      <c r="E8" s="93">
        <f>E7+F7</f>
        <v>6063883409</v>
      </c>
      <c r="F8" s="94"/>
      <c r="G8" s="5"/>
      <c r="H8" s="5"/>
      <c r="I8" s="49">
        <f>C8+E8-I7</f>
        <v>1</v>
      </c>
      <c r="J8" s="8"/>
    </row>
    <row r="9" spans="1:10" x14ac:dyDescent="0.35">
      <c r="A9" s="29"/>
      <c r="B9" s="38"/>
      <c r="C9" s="31"/>
      <c r="D9" s="31"/>
      <c r="E9" s="32"/>
      <c r="F9" s="31"/>
      <c r="G9" s="33"/>
      <c r="H9" s="33"/>
      <c r="I9" s="33"/>
      <c r="J9" s="34"/>
    </row>
    <row r="10" spans="1:10" x14ac:dyDescent="0.35">
      <c r="A10" s="7">
        <v>2020</v>
      </c>
      <c r="B10" s="9" t="s">
        <v>9</v>
      </c>
      <c r="C10" s="11">
        <v>29863327091</v>
      </c>
      <c r="D10" s="11">
        <v>12151963218</v>
      </c>
      <c r="E10" s="10">
        <v>18491800335</v>
      </c>
      <c r="F10" s="10">
        <v>22679535213</v>
      </c>
      <c r="G10" s="10">
        <f>'[1]2019 - 2020'!$M$9</f>
        <v>48355127425</v>
      </c>
      <c r="H10" s="10">
        <f>'[1]2019 - 2020'!$N$9</f>
        <v>34831498431</v>
      </c>
      <c r="I10" s="10">
        <f>'[1]2019 - 2020'!$G$10</f>
        <v>83186625856</v>
      </c>
      <c r="J10" s="8"/>
    </row>
    <row r="11" spans="1:10" x14ac:dyDescent="0.35">
      <c r="A11" s="28"/>
      <c r="B11" s="9" t="s">
        <v>11</v>
      </c>
      <c r="C11" s="99">
        <f>53463699347+5933241767</f>
        <v>59396941114</v>
      </c>
      <c r="D11" s="99">
        <f>13543074359+1490958261</f>
        <v>15034032620</v>
      </c>
      <c r="E11" s="99">
        <f>8140009777+894981883</f>
        <v>9034991660</v>
      </c>
      <c r="F11" s="99">
        <f>25275803284+2782615432</f>
        <v>28058418716</v>
      </c>
      <c r="G11" s="99">
        <f>'[1]2019 - 2020'!$M$11</f>
        <v>68448565693</v>
      </c>
      <c r="H11" s="99">
        <f>'[1]2019 - 2020'!$N$11</f>
        <v>43075818417</v>
      </c>
      <c r="I11" s="99">
        <f>'[1]2019 - 2020'!$G$11+'[1]2019 - 2020'!$G$12</f>
        <v>111524384110</v>
      </c>
      <c r="J11" s="8"/>
    </row>
    <row r="12" spans="1:10" x14ac:dyDescent="0.35">
      <c r="A12" s="22"/>
      <c r="B12" s="9" t="s">
        <v>10</v>
      </c>
      <c r="C12" s="99"/>
      <c r="D12" s="99"/>
      <c r="E12" s="99"/>
      <c r="F12" s="99"/>
      <c r="G12" s="99"/>
      <c r="H12" s="99"/>
      <c r="I12" s="99"/>
      <c r="J12" s="8"/>
    </row>
    <row r="13" spans="1:10" x14ac:dyDescent="0.35">
      <c r="A13" s="22"/>
      <c r="B13" s="9" t="s">
        <v>12</v>
      </c>
      <c r="C13" s="99"/>
      <c r="D13" s="99"/>
      <c r="E13" s="99"/>
      <c r="F13" s="99"/>
      <c r="G13" s="99"/>
      <c r="H13" s="99"/>
      <c r="I13" s="99"/>
      <c r="J13" s="8"/>
    </row>
    <row r="14" spans="1:10" x14ac:dyDescent="0.35">
      <c r="A14" s="22"/>
      <c r="B14" s="9" t="s">
        <v>13</v>
      </c>
      <c r="C14" s="99"/>
      <c r="D14" s="99"/>
      <c r="E14" s="99"/>
      <c r="F14" s="99"/>
      <c r="G14" s="99"/>
      <c r="H14" s="99"/>
      <c r="I14" s="99"/>
      <c r="J14" s="8"/>
    </row>
    <row r="15" spans="1:10" x14ac:dyDescent="0.35">
      <c r="A15" s="22"/>
      <c r="B15" s="9" t="s">
        <v>14</v>
      </c>
      <c r="C15" s="99"/>
      <c r="D15" s="99"/>
      <c r="E15" s="99"/>
      <c r="F15" s="99"/>
      <c r="G15" s="99"/>
      <c r="H15" s="99"/>
      <c r="I15" s="99"/>
      <c r="J15" s="8"/>
    </row>
    <row r="16" spans="1:10" x14ac:dyDescent="0.35">
      <c r="A16" s="22"/>
      <c r="B16" s="9" t="s">
        <v>15</v>
      </c>
      <c r="C16" s="11">
        <f>10042162822+1115179643</f>
        <v>11157342465</v>
      </c>
      <c r="D16" s="10">
        <f>2681678559+295114729</f>
        <v>2976793288</v>
      </c>
      <c r="E16" s="5">
        <f>3285896843+360989202</f>
        <v>3646886045</v>
      </c>
      <c r="F16" s="10">
        <f>5004888693+550780542</f>
        <v>5555669235</v>
      </c>
      <c r="G16" s="10">
        <f>'[1]2019 - 2020'!$M$14+'[1]2019 - 2020'!$M$15</f>
        <v>14808955183</v>
      </c>
      <c r="H16" s="10">
        <f>'[1]2019 - 2020'!$N$14+'[1]2019 - 2020'!$N$15</f>
        <v>8527735850</v>
      </c>
      <c r="I16" s="10">
        <f>'[1]2019 - 2020'!$G$14+'[1]2019 - 2020'!$G$15</f>
        <v>23336691033</v>
      </c>
      <c r="J16" s="8"/>
    </row>
    <row r="17" spans="1:10" x14ac:dyDescent="0.35">
      <c r="A17" s="22"/>
      <c r="B17" s="9" t="s">
        <v>16</v>
      </c>
      <c r="C17" s="11">
        <f>8416921157+1100629677</f>
        <v>9517550834</v>
      </c>
      <c r="D17" s="10">
        <f>2163469683+304747967</f>
        <v>2468217650</v>
      </c>
      <c r="E17" s="5">
        <f>1787135055+297588895</f>
        <v>2084723950</v>
      </c>
      <c r="F17" s="10">
        <f>4037741556+568759313</f>
        <v>4606500869</v>
      </c>
      <c r="G17" s="10">
        <f>'[1]2019 - 2020'!$M$17+'[1]2019 - 2020'!$M$18</f>
        <v>11606479832.75</v>
      </c>
      <c r="H17" s="10">
        <f>'[1]2019 - 2020'!$N$17+'[1]2019 - 2020'!$N$18</f>
        <v>7070513471.4499998</v>
      </c>
      <c r="I17" s="10">
        <f>'[1]2019 - 2020'!$G$17+'[1]2019 - 2020'!$G$18</f>
        <v>18676993304</v>
      </c>
      <c r="J17" s="10"/>
    </row>
    <row r="18" spans="1:10" x14ac:dyDescent="0.35">
      <c r="A18" s="22"/>
      <c r="B18" s="9" t="s">
        <v>17</v>
      </c>
      <c r="C18" s="11">
        <f>8229995313+1080151181</f>
        <v>9310146494</v>
      </c>
      <c r="D18" s="10">
        <f>2163469683+305066799</f>
        <v>2468536482</v>
      </c>
      <c r="E18" s="5">
        <f>854232348+195604565</f>
        <v>1049836913</v>
      </c>
      <c r="F18" s="10">
        <f>4037741556+569354357</f>
        <v>4607095913</v>
      </c>
      <c r="G18" s="10">
        <f>'[1]2019 - 2020'!$M$20+'[1]2019 - 2020'!$M$21</f>
        <v>10362225886.75</v>
      </c>
      <c r="H18" s="10">
        <f>'[1]2019 - 2020'!$N$20+'[1]2019 - 2020'!$N$21</f>
        <v>7073389914.4499998</v>
      </c>
      <c r="I18" s="10">
        <f>'[1]2019 - 2020'!$G$20+'[1]2019 - 2020'!$G$21</f>
        <v>17435615801</v>
      </c>
      <c r="J18" s="10"/>
    </row>
    <row r="19" spans="1:10" x14ac:dyDescent="0.35">
      <c r="A19" s="22"/>
      <c r="B19" s="9" t="s">
        <v>18</v>
      </c>
      <c r="C19" s="11">
        <f>3915628636+1098256948</f>
        <v>5013885584</v>
      </c>
      <c r="D19" s="10">
        <f>251285915+294935386</f>
        <v>546221301</v>
      </c>
      <c r="E19" s="5">
        <f>-1647910553+225172722</f>
        <v>-1422737831</v>
      </c>
      <c r="F19" s="10">
        <f>468981650+550445830</f>
        <v>1019427480</v>
      </c>
      <c r="G19" s="10">
        <f>'[1]2019 - 2020'!$M$23+'[1]2019 - 2020'!$M$24</f>
        <v>3594245146</v>
      </c>
      <c r="H19" s="10">
        <f>'[1]2019 - 2020'!$N$23+'[1]2019 - 2020'!$N$24</f>
        <v>1562551388.7999992</v>
      </c>
      <c r="I19" s="10">
        <f>'[1]2019 - 2020'!$G$23+'[1]2019 - 2020'!$G$24</f>
        <v>5156796534</v>
      </c>
      <c r="J19" s="10"/>
    </row>
    <row r="20" spans="1:10" x14ac:dyDescent="0.35">
      <c r="A20" s="22"/>
      <c r="B20" s="9" t="s">
        <v>19</v>
      </c>
      <c r="C20" s="11">
        <f>3902547543+1096891358</f>
        <v>4999438901</v>
      </c>
      <c r="D20" s="10">
        <f>340675201+305365703</f>
        <v>646040904</v>
      </c>
      <c r="E20" s="5">
        <f>-1491061631+242856404</f>
        <v>-1248205227</v>
      </c>
      <c r="F20" s="10">
        <f>635811274+569912210</f>
        <v>1205723484</v>
      </c>
      <c r="G20" s="10">
        <f>'[1]2019 - 2020'!$M$26+'[1]2019 - 2020'!$M$27</f>
        <v>3753987178</v>
      </c>
      <c r="H20" s="10">
        <f>'[1]2019 - 2020'!$N$26+'[1]2019 - 2020'!$N$27</f>
        <v>1849010882.7999992</v>
      </c>
      <c r="I20" s="10">
        <f>'[1]2019 - 2020'!$G$26+'[1]2019 - 2020'!$G$27</f>
        <v>5602998061</v>
      </c>
      <c r="J20" s="8"/>
    </row>
    <row r="21" spans="1:10" x14ac:dyDescent="0.35">
      <c r="A21" s="22"/>
      <c r="B21" s="9" t="s">
        <v>20</v>
      </c>
      <c r="C21" s="11">
        <f>12118463128+2175267757</f>
        <v>14293730885</v>
      </c>
      <c r="D21" s="5">
        <f>-356312246+296236617</f>
        <v>-60075629</v>
      </c>
      <c r="E21" s="5">
        <f>-2520259202+232101788</f>
        <v>-2288157414</v>
      </c>
      <c r="F21" s="5">
        <f>-664995110+552774349</f>
        <v>-112220761</v>
      </c>
      <c r="G21" s="10">
        <f>'[1]2019 - 2020'!$M$29+'[1]2019 - 2020'!$M$30</f>
        <v>12007869012.75</v>
      </c>
      <c r="H21" s="5">
        <f>'[1]2019 - 2020'!$N$29+'[1]2019 - 2020'!$N$30</f>
        <v>-174491929.75</v>
      </c>
      <c r="I21" s="10">
        <f>'[1]2019 - 2020'!$G$29+'[1]2019 - 2020'!$G$30</f>
        <v>11833377083</v>
      </c>
      <c r="J21" s="10"/>
    </row>
    <row r="22" spans="1:10" x14ac:dyDescent="0.35">
      <c r="A22" s="22"/>
      <c r="B22" s="9" t="s">
        <v>21</v>
      </c>
      <c r="C22" s="11">
        <f>2492257349</f>
        <v>2492257349</v>
      </c>
      <c r="D22" s="5">
        <f>-266922960</f>
        <v>-266922960</v>
      </c>
      <c r="E22" s="5">
        <f>10892728833</f>
        <v>10892728833</v>
      </c>
      <c r="F22" s="5">
        <f>-498165487</f>
        <v>-498165487</v>
      </c>
      <c r="G22" s="10">
        <f>'[1]2019 - 2020'!$M$32</f>
        <v>13384986182.75</v>
      </c>
      <c r="H22" s="5">
        <f>'[1]2019 - 2020'!$N$32</f>
        <v>-765088447.75</v>
      </c>
      <c r="I22" s="10">
        <f>'[1]2019 - 2020'!$G$32</f>
        <v>12619897735</v>
      </c>
      <c r="J22" s="10"/>
    </row>
    <row r="23" spans="1:10" x14ac:dyDescent="0.35">
      <c r="A23" s="22"/>
      <c r="B23" s="52" t="s">
        <v>22</v>
      </c>
      <c r="C23" s="5">
        <f>'selish kurng 2020'!D25</f>
        <v>1016973133.3499994</v>
      </c>
      <c r="D23" s="42">
        <f>'selish kurng 2020'!D26</f>
        <v>307896426.54999971</v>
      </c>
      <c r="E23" s="5">
        <f>'selish kurng 2020'!E25</f>
        <v>-5743031636.75</v>
      </c>
      <c r="F23" s="43">
        <f>'selish kurng 2020'!E26</f>
        <v>569683308.75</v>
      </c>
      <c r="G23" s="5">
        <f>'[1]2019 - 2020'!$M$34</f>
        <v>-4719127941.25</v>
      </c>
      <c r="H23" s="5">
        <f>'[1]2019 - 2020'!$N$34</f>
        <v>870549173.25</v>
      </c>
      <c r="I23" s="5">
        <f>'[1]2019 - 2020'!$G$34</f>
        <v>-3848578768</v>
      </c>
      <c r="J23" s="10"/>
    </row>
    <row r="24" spans="1:10" s="1" customFormat="1" x14ac:dyDescent="0.35">
      <c r="A24" s="22"/>
      <c r="B24" s="51" t="s">
        <v>43</v>
      </c>
      <c r="C24" s="40">
        <f>SUM(C10:C23)</f>
        <v>147061593850.35001</v>
      </c>
      <c r="D24" s="40">
        <f>SUM(D10:D23)</f>
        <v>36272703300.550003</v>
      </c>
      <c r="E24" s="40">
        <f>SUM(E10:E23)</f>
        <v>34498835627.25</v>
      </c>
      <c r="F24" s="40">
        <f>SUM(F10:F23)</f>
        <v>67691667970.75</v>
      </c>
      <c r="G24" s="14">
        <f t="shared" ref="G24:H24" si="1">SUM(G10:G23)</f>
        <v>181603313598.75</v>
      </c>
      <c r="H24" s="14">
        <f t="shared" si="1"/>
        <v>103921487151.25</v>
      </c>
      <c r="I24" s="14">
        <f>SUM(I10:I23)</f>
        <v>285524800749</v>
      </c>
      <c r="J24" s="7"/>
    </row>
    <row r="25" spans="1:10" s="1" customFormat="1" x14ac:dyDescent="0.35">
      <c r="A25" s="23"/>
      <c r="B25" s="38" t="s">
        <v>23</v>
      </c>
      <c r="C25" s="106">
        <f>C24+D24</f>
        <v>183334297150.90002</v>
      </c>
      <c r="D25" s="106"/>
      <c r="E25" s="106">
        <f>E24+F24</f>
        <v>102190503598</v>
      </c>
      <c r="F25" s="106"/>
      <c r="G25" s="45"/>
      <c r="H25" s="45"/>
      <c r="I25" s="49">
        <f>C25+E25-I24</f>
        <v>-9.99755859375E-2</v>
      </c>
      <c r="J25" s="16"/>
    </row>
    <row r="26" spans="1:10" x14ac:dyDescent="0.35">
      <c r="A26" s="35"/>
      <c r="B26" s="30"/>
      <c r="C26" s="32"/>
      <c r="D26" s="31"/>
      <c r="E26" s="32"/>
      <c r="F26" s="32"/>
      <c r="G26" s="32"/>
      <c r="H26" s="32"/>
      <c r="I26" s="36"/>
      <c r="J26" s="8"/>
    </row>
    <row r="27" spans="1:10" x14ac:dyDescent="0.35">
      <c r="A27" s="7">
        <v>2021</v>
      </c>
      <c r="B27" s="9" t="s">
        <v>9</v>
      </c>
      <c r="C27" s="11">
        <v>11344848120</v>
      </c>
      <c r="D27" s="11">
        <v>15655151880</v>
      </c>
      <c r="E27" s="11">
        <v>11344848120</v>
      </c>
      <c r="F27" s="11">
        <v>15655151880</v>
      </c>
      <c r="G27" s="10">
        <f>'[1]2021'!$L$3</f>
        <v>22689696240</v>
      </c>
      <c r="H27" s="10">
        <f>'[1]2021'!$M$3</f>
        <v>31310303760</v>
      </c>
      <c r="I27" s="10">
        <f>'[1]2021'!$F$3</f>
        <v>54000000000</v>
      </c>
      <c r="J27" s="8"/>
    </row>
    <row r="28" spans="1:10" x14ac:dyDescent="0.35">
      <c r="A28" s="28"/>
      <c r="B28" s="9" t="s">
        <v>11</v>
      </c>
      <c r="C28" s="99">
        <f>7545424678+832915325</f>
        <v>8378340003</v>
      </c>
      <c r="D28" s="99">
        <f>15545040283+1727220698</f>
        <v>17272260981</v>
      </c>
      <c r="E28" s="99">
        <f>9918720418+1080201959</f>
        <v>10998922377</v>
      </c>
      <c r="F28" s="99">
        <f>27471474031+3032728577</f>
        <v>30504202608</v>
      </c>
      <c r="G28" s="99">
        <f>'[1]2021'!$L$5+'[1]2021'!$L$6</f>
        <v>19404605659</v>
      </c>
      <c r="H28" s="99">
        <f>'[1]2021'!$M$5+'[1]2021'!$M$6</f>
        <v>47749126306</v>
      </c>
      <c r="I28" s="99">
        <f>'[1]2021'!$G$5+'[1]2021'!$G$6</f>
        <v>67153731965</v>
      </c>
      <c r="J28" s="8"/>
    </row>
    <row r="29" spans="1:10" x14ac:dyDescent="0.35">
      <c r="A29" s="22"/>
      <c r="B29" s="9" t="s">
        <v>10</v>
      </c>
      <c r="C29" s="99"/>
      <c r="D29" s="99"/>
      <c r="E29" s="99"/>
      <c r="F29" s="99"/>
      <c r="G29" s="99"/>
      <c r="H29" s="99"/>
      <c r="I29" s="99"/>
      <c r="J29" s="8"/>
    </row>
    <row r="30" spans="1:10" x14ac:dyDescent="0.35">
      <c r="A30" s="22"/>
      <c r="B30" s="9" t="s">
        <v>12</v>
      </c>
      <c r="C30" s="99"/>
      <c r="D30" s="99"/>
      <c r="E30" s="99"/>
      <c r="F30" s="99"/>
      <c r="G30" s="99"/>
      <c r="H30" s="99"/>
      <c r="I30" s="99"/>
      <c r="J30" s="8"/>
    </row>
    <row r="31" spans="1:10" x14ac:dyDescent="0.35">
      <c r="A31" s="22"/>
      <c r="B31" s="9" t="s">
        <v>13</v>
      </c>
      <c r="C31" s="99"/>
      <c r="D31" s="99"/>
      <c r="E31" s="99"/>
      <c r="F31" s="99"/>
      <c r="G31" s="99"/>
      <c r="H31" s="99"/>
      <c r="I31" s="99"/>
      <c r="J31" s="8"/>
    </row>
    <row r="32" spans="1:10" x14ac:dyDescent="0.35">
      <c r="A32" s="22"/>
      <c r="B32" s="9" t="s">
        <v>14</v>
      </c>
      <c r="C32" s="99"/>
      <c r="D32" s="99"/>
      <c r="E32" s="99"/>
      <c r="F32" s="99"/>
      <c r="G32" s="99"/>
      <c r="H32" s="99"/>
      <c r="I32" s="99"/>
      <c r="J32" s="8"/>
    </row>
    <row r="33" spans="1:10" x14ac:dyDescent="0.35">
      <c r="A33" s="22"/>
      <c r="B33" s="9" t="s">
        <v>15</v>
      </c>
      <c r="C33" s="11">
        <f>1709256437+188717416</f>
        <v>1897973853</v>
      </c>
      <c r="D33" s="5">
        <f>3137986984+341986859</f>
        <v>3479973843</v>
      </c>
      <c r="E33" s="5">
        <f>2133644049+226969096</f>
        <v>2360613145</v>
      </c>
      <c r="F33" s="5">
        <f>6304928885+673597921</f>
        <v>6978526806</v>
      </c>
      <c r="G33" s="10">
        <f>'[1]2021'!$L$8+'[1]2021'!$L$9</f>
        <v>4269889429</v>
      </c>
      <c r="H33" s="10">
        <f>'[1]2021'!$M$8+'[1]2021'!$M$9</f>
        <v>10447198218</v>
      </c>
      <c r="I33" s="10">
        <f>'[1]2021'!$F$10</f>
        <v>14717087647</v>
      </c>
      <c r="J33" s="8"/>
    </row>
    <row r="34" spans="1:10" x14ac:dyDescent="0.35">
      <c r="A34" s="22"/>
      <c r="B34" s="9" t="s">
        <v>16</v>
      </c>
      <c r="C34" s="11">
        <f>533522821+184494548</f>
        <v>718017369</v>
      </c>
      <c r="D34" s="5">
        <f>1563858598+347462004</f>
        <v>1911320602</v>
      </c>
      <c r="E34" s="5">
        <f>1262564470+264338847</f>
        <v>1526903317</v>
      </c>
      <c r="F34" s="5">
        <f>-1611529667+(-5361089)</f>
        <v>-1616890756</v>
      </c>
      <c r="G34" s="10">
        <f>'[1]2021'!$L$11+'[1]2021'!$L$12</f>
        <v>2247760282</v>
      </c>
      <c r="H34" s="10">
        <f>'[1]2021'!$M$11+'[1]2021'!$M$12</f>
        <v>291590250</v>
      </c>
      <c r="I34" s="10">
        <f>'[1]2021'!$F$13</f>
        <v>2539350532</v>
      </c>
      <c r="J34" s="8"/>
    </row>
    <row r="35" spans="1:10" x14ac:dyDescent="0.35">
      <c r="A35" s="22"/>
      <c r="B35" s="9" t="s">
        <v>17</v>
      </c>
      <c r="C35" s="11">
        <f>494954414+180309777</f>
        <v>675264191</v>
      </c>
      <c r="D35" s="5">
        <f>1569384017+348028405</f>
        <v>1917412422</v>
      </c>
      <c r="E35" s="5">
        <f>1119154113+248683365</f>
        <v>1367837478</v>
      </c>
      <c r="F35" s="5">
        <f>63194845+180664579</f>
        <v>243859424</v>
      </c>
      <c r="G35" s="10">
        <f>'[1]2021'!$L$14+'[1]2021'!$L$15</f>
        <v>2045562655</v>
      </c>
      <c r="H35" s="10">
        <f>'[1]2021'!$M$14+'[1]2021'!$M$15</f>
        <v>2158811860</v>
      </c>
      <c r="I35" s="10">
        <f>'[1]2021'!$F$16</f>
        <v>4204373515</v>
      </c>
      <c r="J35" s="8"/>
    </row>
    <row r="36" spans="1:10" x14ac:dyDescent="0.35">
      <c r="A36" s="22"/>
      <c r="B36" s="9" t="s">
        <v>18</v>
      </c>
      <c r="C36" s="5">
        <f>-637465544+179598160</f>
        <v>-457867384</v>
      </c>
      <c r="D36" s="5">
        <f>192712+347913677</f>
        <v>348106389</v>
      </c>
      <c r="E36" s="5">
        <f>906017496+347276243</f>
        <v>1253293739</v>
      </c>
      <c r="F36" s="5">
        <f>1522938677+517107672</f>
        <v>2040046349</v>
      </c>
      <c r="G36" s="10">
        <f>'[1]2021'!$L$17+'[1]2021'!$L$18</f>
        <v>802606530</v>
      </c>
      <c r="H36" s="10">
        <f>'[1]2021'!$M$17+'[1]2021'!$M$18</f>
        <v>2380972563</v>
      </c>
      <c r="I36" s="10">
        <f>'[1]2021'!$F$19</f>
        <v>3183579093</v>
      </c>
      <c r="J36" s="8"/>
    </row>
    <row r="37" spans="1:10" x14ac:dyDescent="0.35">
      <c r="A37" s="22"/>
      <c r="B37" s="9" t="s">
        <v>19</v>
      </c>
      <c r="C37" s="5">
        <f>-585354162+184842808</f>
        <v>-400511354</v>
      </c>
      <c r="D37" s="5">
        <f>-4356685+347408188</f>
        <v>343051503</v>
      </c>
      <c r="E37" s="5">
        <f>-179286529+227636146</f>
        <v>48349617</v>
      </c>
      <c r="F37" s="5">
        <f>3418665174+727743950</f>
        <v>4146409124</v>
      </c>
      <c r="G37" s="10">
        <f>'[1]2021'!$L$20+'[1]2021'!$L$21</f>
        <v>-345385296</v>
      </c>
      <c r="H37" s="10">
        <f>'[1]2021'!$M$20+'[1]2021'!$M$21</f>
        <v>4482684186</v>
      </c>
      <c r="I37" s="10">
        <f>'[1]2021'!$F$22</f>
        <v>4137298890</v>
      </c>
      <c r="J37" s="8"/>
    </row>
    <row r="38" spans="1:10" x14ac:dyDescent="0.35">
      <c r="A38" s="22"/>
      <c r="B38" s="9" t="s">
        <v>20</v>
      </c>
      <c r="C38" s="11">
        <f>8221642238+1163480575</f>
        <v>9385122813</v>
      </c>
      <c r="D38" s="5">
        <f>9831998+348984708</f>
        <v>358816706</v>
      </c>
      <c r="E38" s="5">
        <f>2624706486+533787245</f>
        <v>3158493731</v>
      </c>
      <c r="F38" s="5">
        <f>4382822203+834872509</f>
        <v>5217694712</v>
      </c>
      <c r="G38" s="10">
        <f>'[1]2021'!$L$23+'[1]2021'!$L$24</f>
        <v>12555714054</v>
      </c>
      <c r="H38" s="10">
        <f>'[1]2021'!$M$23+'[1]2021'!$M$24</f>
        <v>5564413908</v>
      </c>
      <c r="I38" s="10">
        <f>'[1]2021'!$F$25</f>
        <v>18120127962</v>
      </c>
      <c r="J38" s="8"/>
    </row>
    <row r="39" spans="1:10" x14ac:dyDescent="0.35">
      <c r="A39" s="22"/>
      <c r="B39" s="9" t="s">
        <v>21</v>
      </c>
      <c r="C39" s="11">
        <f>46908941363</f>
        <v>46908941363</v>
      </c>
      <c r="D39" s="5">
        <f>-8519318+6663543</f>
        <v>-1855775</v>
      </c>
      <c r="E39" s="5">
        <f>17909820003</f>
        <v>17909820003</v>
      </c>
      <c r="F39" s="5">
        <f>6003946975+5844256-3240995296</f>
        <v>2768795935</v>
      </c>
      <c r="G39" s="10">
        <f>'[1]2021'!$L$26</f>
        <v>64818761366</v>
      </c>
      <c r="H39" s="10">
        <f>'[1]2021'!$M$26</f>
        <v>2766940160</v>
      </c>
      <c r="I39" s="10">
        <f>'[1]2021'!$F$28</f>
        <v>67585701525</v>
      </c>
      <c r="J39" s="10"/>
    </row>
    <row r="40" spans="1:10" x14ac:dyDescent="0.35">
      <c r="A40" s="22"/>
      <c r="B40" s="9" t="s">
        <v>24</v>
      </c>
      <c r="C40" s="11">
        <f>153130154401-SUM(C27:C39)</f>
        <v>74680025427</v>
      </c>
      <c r="D40" s="5">
        <f>41721384244-SUM(D27:D39)</f>
        <v>437145693</v>
      </c>
      <c r="E40" s="5">
        <f>61680270750-SUM(E27:E39)</f>
        <v>11711189223</v>
      </c>
      <c r="F40" s="5">
        <f>65341845470-SUM(F27:F39)</f>
        <v>-595950612</v>
      </c>
      <c r="G40" s="10">
        <f>'[1]2021'!$L$30</f>
        <v>10012061342</v>
      </c>
      <c r="H40" s="10">
        <f>'[1]2021'!$M$30</f>
        <v>5722664668</v>
      </c>
      <c r="I40" s="10">
        <f>'[1]2021'!$G$30</f>
        <v>15734726010</v>
      </c>
      <c r="J40" s="10"/>
    </row>
    <row r="41" spans="1:10" x14ac:dyDescent="0.35">
      <c r="A41" s="22"/>
      <c r="B41" s="9" t="s">
        <v>25</v>
      </c>
      <c r="C41" s="11"/>
      <c r="D41" s="11"/>
      <c r="E41" s="10"/>
      <c r="F41" s="10"/>
      <c r="G41" s="10">
        <f>'[1]2021'!$L$33</f>
        <v>70497677723</v>
      </c>
      <c r="H41" s="10"/>
      <c r="I41" s="10">
        <f>'[1]2021'!$G$33</f>
        <v>70497677723</v>
      </c>
      <c r="J41" s="10"/>
    </row>
    <row r="42" spans="1:10" s="1" customFormat="1" x14ac:dyDescent="0.35">
      <c r="A42" s="22"/>
      <c r="B42" s="51" t="s">
        <v>43</v>
      </c>
      <c r="C42" s="44">
        <f t="shared" ref="C42:I42" si="2">SUM(C27:C41)</f>
        <v>153130154401</v>
      </c>
      <c r="D42" s="44">
        <f t="shared" si="2"/>
        <v>41721384244</v>
      </c>
      <c r="E42" s="44">
        <f t="shared" si="2"/>
        <v>61680270750</v>
      </c>
      <c r="F42" s="44">
        <f t="shared" si="2"/>
        <v>65341845470</v>
      </c>
      <c r="G42" s="14">
        <f t="shared" si="2"/>
        <v>208998949984</v>
      </c>
      <c r="H42" s="14">
        <f t="shared" si="2"/>
        <v>112874705879</v>
      </c>
      <c r="I42" s="14">
        <f t="shared" si="2"/>
        <v>321873654862</v>
      </c>
      <c r="J42" s="7"/>
    </row>
    <row r="43" spans="1:10" s="1" customFormat="1" x14ac:dyDescent="0.35">
      <c r="A43" s="23"/>
      <c r="B43" s="38" t="s">
        <v>23</v>
      </c>
      <c r="C43" s="106">
        <f>C42+D42</f>
        <v>194851538645</v>
      </c>
      <c r="D43" s="106"/>
      <c r="E43" s="106">
        <f>E42+F42</f>
        <v>127022116220</v>
      </c>
      <c r="F43" s="106"/>
      <c r="G43" s="45"/>
      <c r="H43" s="45"/>
      <c r="I43" s="49">
        <f>C43+E43-I42</f>
        <v>3</v>
      </c>
      <c r="J43" s="7"/>
    </row>
    <row r="44" spans="1:10" x14ac:dyDescent="0.35">
      <c r="A44" s="35"/>
      <c r="B44" s="30"/>
      <c r="C44" s="31"/>
      <c r="D44" s="31"/>
      <c r="E44" s="32"/>
      <c r="F44" s="32"/>
      <c r="G44" s="32"/>
      <c r="H44" s="32"/>
      <c r="I44" s="36"/>
      <c r="J44" s="8"/>
    </row>
    <row r="45" spans="1:10" x14ac:dyDescent="0.35">
      <c r="A45" s="7">
        <v>2022</v>
      </c>
      <c r="B45" s="9" t="s">
        <v>9</v>
      </c>
      <c r="C45" s="5" cm="1">
        <f t="array" ref="C45:F45">'[1]2022'!$S$3:$V$3</f>
        <v>14595165378</v>
      </c>
      <c r="D45" s="5">
        <v>8487322707</v>
      </c>
      <c r="E45" s="5">
        <v>22715422837</v>
      </c>
      <c r="F45" s="5">
        <v>26636499079</v>
      </c>
      <c r="G45" s="10">
        <f>C45+E45</f>
        <v>37310588215</v>
      </c>
      <c r="H45" s="5">
        <f>D45+F45</f>
        <v>35123821786</v>
      </c>
      <c r="I45" s="10">
        <f>'[1]2022'!$L$3</f>
        <v>72434410000</v>
      </c>
      <c r="J45" s="8"/>
    </row>
    <row r="46" spans="1:10" x14ac:dyDescent="0.35">
      <c r="A46" s="28"/>
      <c r="B46" s="9" t="s">
        <v>11</v>
      </c>
      <c r="C46" s="5">
        <f>'[1]2022'!$S$5+'[1]2022'!$S$6</f>
        <v>37668952491</v>
      </c>
      <c r="D46" s="5">
        <f>'[1]2022'!$T$5+'[1]2022'!$T$6</f>
        <v>-12388478795</v>
      </c>
      <c r="E46" s="5">
        <f>'[1]2022'!$U$5+'[1]2022'!$U$6</f>
        <v>12242593531</v>
      </c>
      <c r="F46" s="5">
        <f>'[1]2022'!$V$5+'[1]2022'!$V$6</f>
        <v>55650489755</v>
      </c>
      <c r="G46" s="99">
        <f>C46+E46</f>
        <v>49911546022</v>
      </c>
      <c r="H46" s="103">
        <f>D46+F46</f>
        <v>43262010960</v>
      </c>
      <c r="I46" s="96">
        <f>G46+H46</f>
        <v>93173556982</v>
      </c>
      <c r="J46" s="8"/>
    </row>
    <row r="47" spans="1:10" x14ac:dyDescent="0.35">
      <c r="A47" s="22"/>
      <c r="B47" s="9" t="s">
        <v>10</v>
      </c>
      <c r="C47" s="5"/>
      <c r="D47" s="25"/>
      <c r="E47" s="25"/>
      <c r="F47" s="25"/>
      <c r="G47" s="99"/>
      <c r="H47" s="104"/>
      <c r="I47" s="97"/>
      <c r="J47" s="8"/>
    </row>
    <row r="48" spans="1:10" x14ac:dyDescent="0.35">
      <c r="A48" s="22"/>
      <c r="B48" s="9" t="s">
        <v>12</v>
      </c>
      <c r="C48" s="5"/>
      <c r="D48" s="26"/>
      <c r="E48" s="26"/>
      <c r="F48" s="26"/>
      <c r="G48" s="99"/>
      <c r="H48" s="104"/>
      <c r="I48" s="97"/>
      <c r="J48" s="8"/>
    </row>
    <row r="49" spans="1:10" x14ac:dyDescent="0.35">
      <c r="A49" s="22"/>
      <c r="B49" s="9" t="s">
        <v>13</v>
      </c>
      <c r="C49" s="5"/>
      <c r="D49" s="27"/>
      <c r="E49" s="27"/>
      <c r="F49" s="27"/>
      <c r="G49" s="99"/>
      <c r="H49" s="105"/>
      <c r="I49" s="98"/>
      <c r="J49" s="8"/>
    </row>
    <row r="50" spans="1:10" x14ac:dyDescent="0.35">
      <c r="A50" s="22"/>
      <c r="B50" s="9" t="s">
        <v>14</v>
      </c>
      <c r="C50" s="5">
        <f>'[1]2022'!$S$8+'[1]2022'!$S$9</f>
        <v>1975622468</v>
      </c>
      <c r="D50" s="5">
        <f>'[1]2022'!$T$8+'[1]2022'!$T$9</f>
        <v>3479338817</v>
      </c>
      <c r="E50" s="5">
        <f>'[1]2022'!$U$8+'[1]2022'!$U$9</f>
        <v>4931908506</v>
      </c>
      <c r="F50" s="5">
        <f>'[1]2022'!$V$8+'[1]2022'!$V$9</f>
        <v>12942655083</v>
      </c>
      <c r="G50" s="10">
        <f t="shared" ref="G50:G59" si="3">C50+E50</f>
        <v>6907530974</v>
      </c>
      <c r="H50" s="5">
        <f t="shared" ref="H50:H59" si="4">D50+F50</f>
        <v>16421993900</v>
      </c>
      <c r="I50" s="10">
        <f t="shared" ref="I50:I59" si="5">G50+H50</f>
        <v>23329524874</v>
      </c>
      <c r="J50" s="8"/>
    </row>
    <row r="51" spans="1:10" x14ac:dyDescent="0.35">
      <c r="A51" s="22"/>
      <c r="B51" s="9" t="s">
        <v>15</v>
      </c>
      <c r="C51" s="5">
        <f>'[1]2022'!$S$11+'[1]2022'!$S$12</f>
        <v>1973114024</v>
      </c>
      <c r="D51" s="5">
        <f>'[1]2022'!$T$11+'[1]2022'!$T$12</f>
        <v>3500837958</v>
      </c>
      <c r="E51" s="5">
        <f>'[1]2022'!$U$11+'[1]2022'!$U$12</f>
        <v>5496387880</v>
      </c>
      <c r="F51" s="5">
        <f>'[1]2022'!$V$11+'[1]2022'!$V$12</f>
        <v>11939598869</v>
      </c>
      <c r="G51" s="10">
        <f t="shared" si="3"/>
        <v>7469501904</v>
      </c>
      <c r="H51" s="5">
        <f t="shared" si="4"/>
        <v>15440436827</v>
      </c>
      <c r="I51" s="10">
        <f t="shared" si="5"/>
        <v>22909938731</v>
      </c>
      <c r="J51" s="8"/>
    </row>
    <row r="52" spans="1:10" x14ac:dyDescent="0.35">
      <c r="A52" s="22"/>
      <c r="B52" s="9" t="s">
        <v>16</v>
      </c>
      <c r="C52" s="5">
        <f>'[1]2022'!$S$14+'[1]2022'!$S$15</f>
        <v>4510629107</v>
      </c>
      <c r="D52" s="5">
        <f>'[1]2022'!$T$14+'[1]2022'!$T$15</f>
        <v>-1356611329</v>
      </c>
      <c r="E52" s="5">
        <f>'[1]2022'!$U$14+'[1]2022'!$U$15</f>
        <v>4039803796</v>
      </c>
      <c r="F52" s="5">
        <f>'[1]2022'!$V$14+'[1]2022'!$V$15</f>
        <v>5265625537</v>
      </c>
      <c r="G52" s="10">
        <f t="shared" si="3"/>
        <v>8550432903</v>
      </c>
      <c r="H52" s="5">
        <f t="shared" si="4"/>
        <v>3909014208</v>
      </c>
      <c r="I52" s="10">
        <f t="shared" si="5"/>
        <v>12459447111</v>
      </c>
      <c r="J52" s="8"/>
    </row>
    <row r="53" spans="1:10" x14ac:dyDescent="0.35">
      <c r="A53" s="22"/>
      <c r="B53" s="9" t="s">
        <v>17</v>
      </c>
      <c r="C53" s="5">
        <f>'[1]2022'!$S$17+'[1]2022'!$S$18</f>
        <v>13989187110</v>
      </c>
      <c r="D53" s="5">
        <f>'[1]2022'!$T$17+'[1]2022'!$T$18</f>
        <v>-1360564717</v>
      </c>
      <c r="E53" s="5">
        <f>'[1]2022'!$U$17+'[1]2022'!$U$18</f>
        <v>2407062008</v>
      </c>
      <c r="F53" s="5">
        <f>'[1]2022'!$V$17+'[1]2022'!$V$18</f>
        <v>6937388545</v>
      </c>
      <c r="G53" s="10">
        <f t="shared" si="3"/>
        <v>16396249118</v>
      </c>
      <c r="H53" s="5">
        <f t="shared" si="4"/>
        <v>5576823828</v>
      </c>
      <c r="I53" s="10">
        <f t="shared" si="5"/>
        <v>21973072946</v>
      </c>
      <c r="J53" s="8"/>
    </row>
    <row r="54" spans="1:10" x14ac:dyDescent="0.35">
      <c r="A54" s="22"/>
      <c r="B54" s="9" t="s">
        <v>18</v>
      </c>
      <c r="C54" s="5">
        <f>'[1]2022'!$S$20+'[1]2022'!$S$21</f>
        <v>7066193752.5</v>
      </c>
      <c r="D54" s="5">
        <f>'[1]2022'!$T$20+'[1]2022'!$T$21</f>
        <v>-6209745518</v>
      </c>
      <c r="E54" s="5">
        <f>'[1]2022'!$U$20+'[1]2022'!$U$21</f>
        <v>2518332273</v>
      </c>
      <c r="F54" s="5">
        <f>'[1]2022'!$V$20+'[1]2022'!$V$21</f>
        <v>5989196976</v>
      </c>
      <c r="G54" s="10">
        <f t="shared" si="3"/>
        <v>9584526025.5</v>
      </c>
      <c r="H54" s="5">
        <f t="shared" si="4"/>
        <v>-220548542</v>
      </c>
      <c r="I54" s="10">
        <f t="shared" si="5"/>
        <v>9363977483.5</v>
      </c>
      <c r="J54" s="8"/>
    </row>
    <row r="55" spans="1:10" x14ac:dyDescent="0.35">
      <c r="A55" s="22"/>
      <c r="B55" s="9" t="s">
        <v>19</v>
      </c>
      <c r="C55" s="5">
        <f>'[1]2022'!$S$23+'[1]2022'!$S$24</f>
        <v>-358696966</v>
      </c>
      <c r="D55" s="5">
        <f>'[1]2022'!$T$23+'[1]2022'!$T$24</f>
        <v>1219803163</v>
      </c>
      <c r="E55" s="5">
        <f>'[1]2022'!$U$23+'[1]2022'!$U$24</f>
        <v>2981107075</v>
      </c>
      <c r="F55" s="5">
        <f>'[1]2022'!$V$23+'[1]2022'!$V$24</f>
        <v>9452899560</v>
      </c>
      <c r="G55" s="10">
        <f t="shared" si="3"/>
        <v>2622410109</v>
      </c>
      <c r="H55" s="5">
        <f t="shared" si="4"/>
        <v>10672702723</v>
      </c>
      <c r="I55" s="10">
        <f t="shared" si="5"/>
        <v>13295112832</v>
      </c>
      <c r="J55" s="8"/>
    </row>
    <row r="56" spans="1:10" x14ac:dyDescent="0.35">
      <c r="A56" s="22"/>
      <c r="B56" s="9" t="s">
        <v>20</v>
      </c>
      <c r="C56" s="5">
        <f>'[1]2022'!$S$26+'[1]2022'!$S$27</f>
        <v>39012710084</v>
      </c>
      <c r="D56" s="5">
        <f>'[1]2022'!$T$26+'[1]2022'!$T$27</f>
        <v>1221698911</v>
      </c>
      <c r="E56" s="5">
        <f>'[1]2022'!$U$26+'[1]2022'!$U$27</f>
        <v>7196436129</v>
      </c>
      <c r="F56" s="5">
        <f>'[1]2022'!$V$26+'[1]2022'!$V$27</f>
        <v>6244833332</v>
      </c>
      <c r="G56" s="10">
        <f t="shared" si="3"/>
        <v>46209146213</v>
      </c>
      <c r="H56" s="5">
        <f t="shared" si="4"/>
        <v>7466532243</v>
      </c>
      <c r="I56" s="10">
        <f t="shared" si="5"/>
        <v>53675678456</v>
      </c>
      <c r="J56" s="8"/>
    </row>
    <row r="57" spans="1:10" x14ac:dyDescent="0.35">
      <c r="A57" s="22"/>
      <c r="B57" s="9" t="s">
        <v>21</v>
      </c>
      <c r="C57" s="5">
        <f>'[1]2022'!$S$29</f>
        <v>-556987317</v>
      </c>
      <c r="D57" s="5">
        <f>'[1]2022'!$T$29</f>
        <v>899234627</v>
      </c>
      <c r="E57" s="5">
        <f>'[1]2022'!$U$29</f>
        <v>23942421614</v>
      </c>
      <c r="F57" s="5">
        <f>'[1]2022'!$V$29</f>
        <v>5147291241</v>
      </c>
      <c r="G57" s="10">
        <f t="shared" si="3"/>
        <v>23385434297</v>
      </c>
      <c r="H57" s="5">
        <f t="shared" si="4"/>
        <v>6046525868</v>
      </c>
      <c r="I57" s="10">
        <f t="shared" si="5"/>
        <v>29431960165</v>
      </c>
      <c r="J57" s="8"/>
    </row>
    <row r="58" spans="1:10" x14ac:dyDescent="0.35">
      <c r="A58" s="22"/>
      <c r="B58" s="9" t="s">
        <v>28</v>
      </c>
      <c r="C58" s="5">
        <f>'[1]2022'!$S$32</f>
        <v>46441290106</v>
      </c>
      <c r="D58" s="5"/>
      <c r="E58" s="5"/>
      <c r="F58" s="5"/>
      <c r="G58" s="10">
        <f t="shared" si="3"/>
        <v>46441290106</v>
      </c>
      <c r="H58" s="5">
        <f t="shared" si="4"/>
        <v>0</v>
      </c>
      <c r="I58" s="10">
        <f t="shared" si="5"/>
        <v>46441290106</v>
      </c>
      <c r="J58" s="8"/>
    </row>
    <row r="59" spans="1:10" x14ac:dyDescent="0.35">
      <c r="A59" s="22"/>
      <c r="B59" s="52" t="s">
        <v>27</v>
      </c>
      <c r="C59" s="5">
        <f>'[1]2022'!$S$33</f>
        <v>1773736876</v>
      </c>
      <c r="D59" s="5"/>
      <c r="E59" s="5"/>
      <c r="F59" s="5"/>
      <c r="G59" s="10">
        <f t="shared" si="3"/>
        <v>1773736876</v>
      </c>
      <c r="H59" s="5">
        <f t="shared" si="4"/>
        <v>0</v>
      </c>
      <c r="I59" s="10">
        <f t="shared" si="5"/>
        <v>1773736876</v>
      </c>
      <c r="J59" s="8"/>
    </row>
    <row r="60" spans="1:10" s="1" customFormat="1" x14ac:dyDescent="0.35">
      <c r="A60" s="22"/>
      <c r="B60" s="51" t="s">
        <v>43</v>
      </c>
      <c r="C60" s="13">
        <f t="shared" ref="C60:F60" si="6">SUM(C45:C59)</f>
        <v>168090917113.5</v>
      </c>
      <c r="D60" s="13">
        <f t="shared" si="6"/>
        <v>-2507164176</v>
      </c>
      <c r="E60" s="13">
        <f t="shared" si="6"/>
        <v>88471475649</v>
      </c>
      <c r="F60" s="13">
        <f t="shared" si="6"/>
        <v>146206477977</v>
      </c>
      <c r="G60" s="14">
        <f>SUM(G45:G59)</f>
        <v>256562392762.5</v>
      </c>
      <c r="H60" s="13">
        <f>SUM(H45:H59)</f>
        <v>143699313801</v>
      </c>
      <c r="I60" s="14">
        <f>SUM(I45:I59)</f>
        <v>400261706562.5</v>
      </c>
      <c r="J60" s="7"/>
    </row>
    <row r="61" spans="1:10" s="1" customFormat="1" x14ac:dyDescent="0.35">
      <c r="A61" s="23"/>
      <c r="B61" s="38" t="s">
        <v>23</v>
      </c>
      <c r="C61" s="95">
        <f>C60+D60</f>
        <v>165583752937.5</v>
      </c>
      <c r="D61" s="95"/>
      <c r="E61" s="95">
        <f>E60+F60</f>
        <v>234677953626</v>
      </c>
      <c r="F61" s="95"/>
      <c r="G61" s="45"/>
      <c r="H61" s="46"/>
      <c r="I61" s="49">
        <f>C61+E61-I60</f>
        <v>1</v>
      </c>
      <c r="J61" s="7"/>
    </row>
    <row r="62" spans="1:10" x14ac:dyDescent="0.35">
      <c r="A62" s="35"/>
      <c r="B62" s="30"/>
      <c r="C62" s="33"/>
      <c r="D62" s="33"/>
      <c r="E62" s="33"/>
      <c r="F62" s="33"/>
      <c r="G62" s="32"/>
      <c r="H62" s="33"/>
      <c r="I62" s="36"/>
      <c r="J62" s="8"/>
    </row>
    <row r="63" spans="1:10" x14ac:dyDescent="0.35">
      <c r="A63" s="7">
        <v>2023</v>
      </c>
      <c r="B63" s="9" t="s">
        <v>9</v>
      </c>
      <c r="C63" s="5" cm="1">
        <f t="array" ref="C63:F63">'[2]2023'!$AG$3:$AJ$3</f>
        <v>10967694339.714287</v>
      </c>
      <c r="D63" s="5">
        <v>9032305660.2857151</v>
      </c>
      <c r="E63" s="5">
        <v>27419235849.285717</v>
      </c>
      <c r="F63" s="5">
        <v>22580764150.714287</v>
      </c>
      <c r="G63" s="10">
        <f t="shared" ref="G63:G76" si="7">C63+E63</f>
        <v>38386930189</v>
      </c>
      <c r="H63" s="5">
        <f t="shared" ref="H63:H76" si="8">D63+F63</f>
        <v>31613069811</v>
      </c>
      <c r="I63" s="10">
        <f t="shared" ref="I63:I76" si="9">G63+H63</f>
        <v>70000000000</v>
      </c>
      <c r="J63" s="15"/>
    </row>
    <row r="64" spans="1:10" x14ac:dyDescent="0.35">
      <c r="A64" s="28"/>
      <c r="B64" s="9" t="s">
        <v>11</v>
      </c>
      <c r="C64" s="5" cm="1">
        <f t="array" ref="C64:F64">'[2]2023'!$AG$5:$AJ$5</f>
        <v>11625394114</v>
      </c>
      <c r="D64" s="5">
        <v>495052736</v>
      </c>
      <c r="E64" s="5">
        <v>2162741140</v>
      </c>
      <c r="F64" s="5">
        <v>12882021405</v>
      </c>
      <c r="G64" s="10">
        <f t="shared" si="7"/>
        <v>13788135254</v>
      </c>
      <c r="H64" s="5">
        <f t="shared" si="8"/>
        <v>13377074141</v>
      </c>
      <c r="I64" s="10">
        <f t="shared" si="9"/>
        <v>27165209395</v>
      </c>
      <c r="J64" s="15"/>
    </row>
    <row r="65" spans="1:10" x14ac:dyDescent="0.35">
      <c r="A65" s="22"/>
      <c r="B65" s="9" t="s">
        <v>10</v>
      </c>
      <c r="C65" s="5" cm="1">
        <f t="array" ref="C65:F65">'[2]2023'!$AG$8:$AJ$8</f>
        <v>1733343345</v>
      </c>
      <c r="D65" s="5">
        <v>528446084</v>
      </c>
      <c r="E65" s="5">
        <v>3480648059</v>
      </c>
      <c r="F65" s="5">
        <v>12102670742</v>
      </c>
      <c r="G65" s="10">
        <f t="shared" si="7"/>
        <v>5213991404</v>
      </c>
      <c r="H65" s="5">
        <f t="shared" si="8"/>
        <v>12631116826</v>
      </c>
      <c r="I65" s="10">
        <f t="shared" si="9"/>
        <v>17845108230</v>
      </c>
      <c r="J65" s="15"/>
    </row>
    <row r="66" spans="1:10" x14ac:dyDescent="0.35">
      <c r="A66" s="22"/>
      <c r="B66" s="9" t="s">
        <v>12</v>
      </c>
      <c r="C66" s="5" cm="1">
        <f t="array" ref="C66:F66">'[2]2023'!$AG$11:$AJ$11</f>
        <v>1175784106</v>
      </c>
      <c r="D66" s="5">
        <v>430843803</v>
      </c>
      <c r="E66" s="5">
        <v>7548622177</v>
      </c>
      <c r="F66" s="5">
        <v>13248919736</v>
      </c>
      <c r="G66" s="10">
        <f t="shared" si="7"/>
        <v>8724406283</v>
      </c>
      <c r="H66" s="5">
        <f t="shared" si="8"/>
        <v>13679763539</v>
      </c>
      <c r="I66" s="10">
        <f t="shared" si="9"/>
        <v>22404169822</v>
      </c>
      <c r="J66" s="15"/>
    </row>
    <row r="67" spans="1:10" x14ac:dyDescent="0.35">
      <c r="A67" s="22"/>
      <c r="B67" s="9" t="s">
        <v>13</v>
      </c>
      <c r="C67" s="5" cm="1">
        <f t="array" ref="C67:F67">'[2]2023'!$AG$14:$AJ$14</f>
        <v>1195412384</v>
      </c>
      <c r="D67" s="5">
        <v>420759022</v>
      </c>
      <c r="E67" s="5">
        <v>5460117138</v>
      </c>
      <c r="F67" s="5">
        <v>10968593498</v>
      </c>
      <c r="G67" s="10">
        <f t="shared" si="7"/>
        <v>6655529522</v>
      </c>
      <c r="H67" s="5">
        <f t="shared" si="8"/>
        <v>11389352520</v>
      </c>
      <c r="I67" s="10">
        <f t="shared" si="9"/>
        <v>18044882042</v>
      </c>
      <c r="J67" s="15"/>
    </row>
    <row r="68" spans="1:10" x14ac:dyDescent="0.35">
      <c r="A68" s="22"/>
      <c r="B68" s="9" t="s">
        <v>14</v>
      </c>
      <c r="C68" s="5" cm="1">
        <f t="array" ref="C68:F68">'[2]2023'!$AG$17:$AJ$17</f>
        <v>1210059549.8078251</v>
      </c>
      <c r="D68" s="5">
        <v>364349345.19217491</v>
      </c>
      <c r="E68" s="5">
        <v>6212217744.1921749</v>
      </c>
      <c r="F68" s="5">
        <v>12549631109.807825</v>
      </c>
      <c r="G68" s="10">
        <f t="shared" si="7"/>
        <v>7422277294</v>
      </c>
      <c r="H68" s="5">
        <f t="shared" si="8"/>
        <v>12913980455</v>
      </c>
      <c r="I68" s="10">
        <f t="shared" si="9"/>
        <v>20336257749</v>
      </c>
      <c r="J68" s="15"/>
    </row>
    <row r="69" spans="1:10" x14ac:dyDescent="0.35">
      <c r="A69" s="22"/>
      <c r="B69" s="9" t="s">
        <v>15</v>
      </c>
      <c r="C69" s="5" cm="1">
        <f t="array" ref="C69:F69">'[2]2023'!$AG$20:$AJ$20</f>
        <v>1883501187.0621204</v>
      </c>
      <c r="D69" s="5">
        <v>478574709.73788071</v>
      </c>
      <c r="E69" s="5">
        <v>5059378445.9378796</v>
      </c>
      <c r="F69" s="5">
        <v>12191015528.262119</v>
      </c>
      <c r="G69" s="10">
        <f t="shared" si="7"/>
        <v>6942879633</v>
      </c>
      <c r="H69" s="5">
        <f t="shared" si="8"/>
        <v>12669590238</v>
      </c>
      <c r="I69" s="10">
        <f t="shared" si="9"/>
        <v>19612469871</v>
      </c>
      <c r="J69" s="15"/>
    </row>
    <row r="70" spans="1:10" x14ac:dyDescent="0.35">
      <c r="A70" s="22"/>
      <c r="B70" s="9" t="s">
        <v>16</v>
      </c>
      <c r="C70" s="5" cm="1">
        <f t="array" ref="C70:F70">'[2]2023'!$AG$23:$AJ$23</f>
        <v>12004559187</v>
      </c>
      <c r="D70" s="5">
        <v>-343817041</v>
      </c>
      <c r="E70" s="5">
        <v>4988904270</v>
      </c>
      <c r="F70" s="5">
        <v>10380590492</v>
      </c>
      <c r="G70" s="10">
        <f t="shared" si="7"/>
        <v>16993463457</v>
      </c>
      <c r="H70" s="5">
        <f t="shared" si="8"/>
        <v>10036773451</v>
      </c>
      <c r="I70" s="10">
        <f t="shared" si="9"/>
        <v>27030236908</v>
      </c>
      <c r="J70" s="15"/>
    </row>
    <row r="71" spans="1:10" x14ac:dyDescent="0.35">
      <c r="A71" s="22"/>
      <c r="B71" s="9" t="s">
        <v>17</v>
      </c>
      <c r="C71" s="5" cm="1">
        <f t="array" ref="C71:F71">'[2]2023'!$AG$26:$AJ$26</f>
        <v>770791687</v>
      </c>
      <c r="D71" s="5">
        <v>-408122507</v>
      </c>
      <c r="E71" s="5">
        <v>5909080414</v>
      </c>
      <c r="F71" s="5">
        <v>10576960670</v>
      </c>
      <c r="G71" s="10">
        <f t="shared" si="7"/>
        <v>6679872101</v>
      </c>
      <c r="H71" s="5">
        <f t="shared" si="8"/>
        <v>10168838163</v>
      </c>
      <c r="I71" s="10">
        <f t="shared" si="9"/>
        <v>16848710264</v>
      </c>
      <c r="J71" s="15"/>
    </row>
    <row r="72" spans="1:10" x14ac:dyDescent="0.35">
      <c r="A72" s="22"/>
      <c r="B72" s="9" t="s">
        <v>18</v>
      </c>
      <c r="C72" s="5" cm="1">
        <f t="array" ref="C72:F72">'[2]2023'!$AG$29:$AJ$29</f>
        <v>-293196300</v>
      </c>
      <c r="D72" s="5">
        <v>2390243863</v>
      </c>
      <c r="E72" s="5">
        <v>1083012243</v>
      </c>
      <c r="F72" s="5">
        <v>4306425759</v>
      </c>
      <c r="G72" s="10">
        <f t="shared" si="7"/>
        <v>789815943</v>
      </c>
      <c r="H72" s="5">
        <f t="shared" si="8"/>
        <v>6696669622</v>
      </c>
      <c r="I72" s="10">
        <f t="shared" si="9"/>
        <v>7486485565</v>
      </c>
      <c r="J72" s="15"/>
    </row>
    <row r="73" spans="1:10" x14ac:dyDescent="0.35">
      <c r="A73" s="22"/>
      <c r="B73" s="9" t="s">
        <v>19</v>
      </c>
      <c r="C73" s="5" cm="1">
        <f t="array" ref="C73:F73">'[2]2023'!$AG$32:$AJ$32</f>
        <v>-238960560</v>
      </c>
      <c r="D73" s="5">
        <v>-1329546544</v>
      </c>
      <c r="E73" s="5">
        <v>6031390728</v>
      </c>
      <c r="F73" s="5">
        <v>9536243494</v>
      </c>
      <c r="G73" s="10">
        <f t="shared" si="7"/>
        <v>5792430168</v>
      </c>
      <c r="H73" s="5">
        <f t="shared" si="8"/>
        <v>8206696950</v>
      </c>
      <c r="I73" s="10">
        <f t="shared" si="9"/>
        <v>13999127118</v>
      </c>
      <c r="J73" s="15"/>
    </row>
    <row r="74" spans="1:10" x14ac:dyDescent="0.35">
      <c r="A74" s="22"/>
      <c r="B74" s="9" t="s">
        <v>20</v>
      </c>
      <c r="C74" s="5" cm="1">
        <f t="array" ref="C74:F74">'[2]2023'!$AG$35:$AJ$35</f>
        <v>30970330050</v>
      </c>
      <c r="D74" s="5">
        <v>-1408393570</v>
      </c>
      <c r="E74" s="5">
        <v>20719006026</v>
      </c>
      <c r="F74" s="5">
        <v>7824990583</v>
      </c>
      <c r="G74" s="10">
        <f t="shared" si="7"/>
        <v>51689336076</v>
      </c>
      <c r="H74" s="5">
        <f t="shared" si="8"/>
        <v>6416597013</v>
      </c>
      <c r="I74" s="10">
        <f t="shared" si="9"/>
        <v>58105933089</v>
      </c>
      <c r="J74" s="15"/>
    </row>
    <row r="75" spans="1:10" x14ac:dyDescent="0.35">
      <c r="A75" s="22"/>
      <c r="B75" s="9" t="s">
        <v>21</v>
      </c>
      <c r="C75" s="5" cm="1">
        <f t="array" ref="C75:F75">'[2]2023'!$AG$38:$AJ$38</f>
        <v>-167855344</v>
      </c>
      <c r="D75" s="5">
        <v>-5146254245</v>
      </c>
      <c r="E75" s="5">
        <v>24377083090</v>
      </c>
      <c r="F75" s="5">
        <v>8091422423</v>
      </c>
      <c r="G75" s="10">
        <f t="shared" si="7"/>
        <v>24209227746</v>
      </c>
      <c r="H75" s="5">
        <f t="shared" si="8"/>
        <v>2945168178</v>
      </c>
      <c r="I75" s="10">
        <f t="shared" si="9"/>
        <v>27154395924</v>
      </c>
      <c r="J75" s="15"/>
    </row>
    <row r="76" spans="1:10" x14ac:dyDescent="0.35">
      <c r="A76" s="22"/>
      <c r="B76" s="9" t="s">
        <v>26</v>
      </c>
      <c r="C76" s="5" cm="1">
        <f t="array" ref="C76:F76">'[2]2023'!$AG$42:$AJ$42</f>
        <v>71059446743.714523</v>
      </c>
      <c r="D76" s="5">
        <v>34824919706.285477</v>
      </c>
      <c r="E76" s="5">
        <v>0</v>
      </c>
      <c r="F76" s="5">
        <v>0</v>
      </c>
      <c r="G76" s="10">
        <f t="shared" si="7"/>
        <v>71059446743.714523</v>
      </c>
      <c r="H76" s="5">
        <f t="shared" si="8"/>
        <v>34824919706.285477</v>
      </c>
      <c r="I76" s="10">
        <f t="shared" si="9"/>
        <v>105884366450</v>
      </c>
      <c r="J76" s="8"/>
    </row>
    <row r="77" spans="1:10" s="1" customFormat="1" x14ac:dyDescent="0.35">
      <c r="A77" s="22"/>
      <c r="B77" s="51" t="s">
        <v>43</v>
      </c>
      <c r="C77" s="13">
        <f t="shared" ref="C77:I77" si="10">SUM(C63:C76)</f>
        <v>143896304489.29877</v>
      </c>
      <c r="D77" s="13">
        <f t="shared" si="10"/>
        <v>40329361022.501251</v>
      </c>
      <c r="E77" s="13">
        <f t="shared" si="10"/>
        <v>120451437324.41577</v>
      </c>
      <c r="F77" s="13">
        <f t="shared" si="10"/>
        <v>147240249590.78424</v>
      </c>
      <c r="G77" s="14">
        <f t="shared" si="10"/>
        <v>264347741813.71454</v>
      </c>
      <c r="H77" s="13">
        <f t="shared" si="10"/>
        <v>187569610613.28546</v>
      </c>
      <c r="I77" s="14">
        <f t="shared" si="10"/>
        <v>451917352427</v>
      </c>
      <c r="J77" s="7"/>
    </row>
    <row r="78" spans="1:10" s="1" customFormat="1" x14ac:dyDescent="0.35">
      <c r="A78" s="23"/>
      <c r="B78" s="38" t="s">
        <v>23</v>
      </c>
      <c r="C78" s="95">
        <f>C77+D77</f>
        <v>184225665511.80002</v>
      </c>
      <c r="D78" s="95"/>
      <c r="E78" s="95">
        <f>E77+F77</f>
        <v>267691686915.20001</v>
      </c>
      <c r="F78" s="95"/>
      <c r="G78" s="45"/>
      <c r="H78" s="46"/>
      <c r="I78" s="49">
        <f>C78+E78-I77</f>
        <v>0</v>
      </c>
      <c r="J78" s="7"/>
    </row>
    <row r="79" spans="1:10" x14ac:dyDescent="0.35">
      <c r="A79" s="35"/>
      <c r="B79" s="30"/>
      <c r="C79" s="33"/>
      <c r="D79" s="33"/>
      <c r="E79" s="33"/>
      <c r="F79" s="33"/>
      <c r="G79" s="32"/>
      <c r="H79" s="33"/>
      <c r="I79" s="36"/>
      <c r="J79" s="8"/>
    </row>
    <row r="80" spans="1:10" x14ac:dyDescent="0.35">
      <c r="A80" s="7">
        <v>2024</v>
      </c>
      <c r="B80" s="9" t="s">
        <v>9</v>
      </c>
      <c r="C80" s="5">
        <f>'[3]2024'!$AJ$3</f>
        <v>7998811131.1325397</v>
      </c>
      <c r="D80" s="5">
        <f>'[3]2024'!$AK$3</f>
        <v>1155656472.232796</v>
      </c>
      <c r="E80" s="5">
        <f>'[3]2024'!$AL$3</f>
        <v>23395211113.1534</v>
      </c>
      <c r="F80" s="5">
        <f>'[3]2024'!$AM$3</f>
        <v>26728535648.240005</v>
      </c>
      <c r="G80" s="10">
        <f t="shared" ref="G80:G93" si="11">C80+E80</f>
        <v>31394022244.285942</v>
      </c>
      <c r="H80" s="5">
        <f t="shared" ref="H80:H93" si="12">D80+F80</f>
        <v>27884192120.472801</v>
      </c>
      <c r="I80" s="10">
        <f t="shared" ref="I80:I93" si="13">G80+H80</f>
        <v>59278214364.758743</v>
      </c>
      <c r="J80" s="15"/>
    </row>
    <row r="81" spans="1:10" x14ac:dyDescent="0.35">
      <c r="A81" s="28"/>
      <c r="B81" s="9" t="s">
        <v>11</v>
      </c>
      <c r="C81" s="5">
        <f>'[3]2024'!$AJ$5</f>
        <v>2009959904</v>
      </c>
      <c r="D81" s="5">
        <f>'[3]2024'!$AK$5</f>
        <v>417262103</v>
      </c>
      <c r="E81" s="5">
        <f>'[3]2024'!$AL$5</f>
        <v>2382559166</v>
      </c>
      <c r="F81" s="5">
        <f>'[3]2024'!$AM$5</f>
        <v>11541369553.6</v>
      </c>
      <c r="G81" s="10">
        <f t="shared" si="11"/>
        <v>4392519070</v>
      </c>
      <c r="H81" s="5">
        <f t="shared" si="12"/>
        <v>11958631656.6</v>
      </c>
      <c r="I81" s="10">
        <f t="shared" si="13"/>
        <v>16351150726.6</v>
      </c>
      <c r="J81" s="15"/>
    </row>
    <row r="82" spans="1:10" x14ac:dyDescent="0.35">
      <c r="A82" s="22"/>
      <c r="B82" s="9" t="s">
        <v>10</v>
      </c>
      <c r="C82" s="5" cm="1">
        <f t="array" ref="C82:F82">'[3]2024'!$AJ$8:$AM$8</f>
        <v>2036707323</v>
      </c>
      <c r="D82" s="5">
        <v>455478623</v>
      </c>
      <c r="E82" s="5">
        <v>7229988719</v>
      </c>
      <c r="F82" s="5">
        <v>10851918836</v>
      </c>
      <c r="G82" s="10">
        <f t="shared" si="11"/>
        <v>9266696042</v>
      </c>
      <c r="H82" s="5">
        <f t="shared" si="12"/>
        <v>11307397459</v>
      </c>
      <c r="I82" s="10">
        <f t="shared" si="13"/>
        <v>20574093501</v>
      </c>
      <c r="J82" s="15"/>
    </row>
    <row r="83" spans="1:10" x14ac:dyDescent="0.35">
      <c r="A83" s="22"/>
      <c r="B83" s="9" t="s">
        <v>12</v>
      </c>
      <c r="C83" s="5" cm="1">
        <f t="array" ref="C83:F83">'[3]2024'!$AJ$11:$AM$11</f>
        <v>1924613654</v>
      </c>
      <c r="D83" s="5">
        <v>436070952</v>
      </c>
      <c r="E83" s="5">
        <v>8740915594</v>
      </c>
      <c r="F83" s="5">
        <v>10874974416</v>
      </c>
      <c r="G83" s="10">
        <f t="shared" si="11"/>
        <v>10665529248</v>
      </c>
      <c r="H83" s="5">
        <f t="shared" si="12"/>
        <v>11311045368</v>
      </c>
      <c r="I83" s="10">
        <f t="shared" si="13"/>
        <v>21976574616</v>
      </c>
      <c r="J83" s="15"/>
    </row>
    <row r="84" spans="1:10" x14ac:dyDescent="0.35">
      <c r="A84" s="22"/>
      <c r="B84" s="9" t="s">
        <v>13</v>
      </c>
      <c r="C84" s="5" cm="1">
        <f t="array" ref="C84:F84">'[3]2024'!$AJ$14:$AM$14</f>
        <v>2030185626</v>
      </c>
      <c r="D84" s="5">
        <v>418378666</v>
      </c>
      <c r="E84" s="5">
        <v>4591078699</v>
      </c>
      <c r="F84" s="5">
        <v>10422988852</v>
      </c>
      <c r="G84" s="10">
        <f t="shared" si="11"/>
        <v>6621264325</v>
      </c>
      <c r="H84" s="5">
        <f t="shared" si="12"/>
        <v>10841367518</v>
      </c>
      <c r="I84" s="10">
        <f t="shared" si="13"/>
        <v>17462631843</v>
      </c>
      <c r="J84" s="15"/>
    </row>
    <row r="85" spans="1:10" x14ac:dyDescent="0.35">
      <c r="A85" s="22"/>
      <c r="B85" s="9" t="s">
        <v>14</v>
      </c>
      <c r="C85" s="5" cm="1">
        <f t="array" ref="C85:F85">'[3]2024'!$AJ$17:$AM$17</f>
        <v>2072768308</v>
      </c>
      <c r="D85" s="5">
        <v>459433580</v>
      </c>
      <c r="E85" s="5">
        <v>3860822948</v>
      </c>
      <c r="F85" s="5">
        <v>11100616321</v>
      </c>
      <c r="G85" s="10">
        <f t="shared" si="11"/>
        <v>5933591256</v>
      </c>
      <c r="H85" s="5">
        <f t="shared" si="12"/>
        <v>11560049901</v>
      </c>
      <c r="I85" s="10">
        <f t="shared" si="13"/>
        <v>17493641157</v>
      </c>
      <c r="J85" s="15"/>
    </row>
    <row r="86" spans="1:10" x14ac:dyDescent="0.35">
      <c r="A86" s="22"/>
      <c r="B86" s="9" t="s">
        <v>15</v>
      </c>
      <c r="C86" s="5" cm="1">
        <f t="array" ref="C86:F86">'[3]2024'!$AJ$20:$AM$20</f>
        <v>1371210422</v>
      </c>
      <c r="D86" s="5">
        <v>357578104</v>
      </c>
      <c r="E86" s="5">
        <v>9701663703</v>
      </c>
      <c r="F86" s="5">
        <v>11487381908</v>
      </c>
      <c r="G86" s="10">
        <f t="shared" si="11"/>
        <v>11072874125</v>
      </c>
      <c r="H86" s="5">
        <f t="shared" si="12"/>
        <v>11844960012</v>
      </c>
      <c r="I86" s="10">
        <f t="shared" si="13"/>
        <v>22917834137</v>
      </c>
      <c r="J86" s="15"/>
    </row>
    <row r="87" spans="1:10" x14ac:dyDescent="0.35">
      <c r="A87" s="22"/>
      <c r="B87" s="9" t="s">
        <v>16</v>
      </c>
      <c r="C87" s="5" cm="1">
        <f t="array" ref="C87:F87">'[3]2024'!$AJ$23:$AM$23</f>
        <v>12314185685</v>
      </c>
      <c r="D87" s="5">
        <v>288347582</v>
      </c>
      <c r="E87" s="5">
        <v>1518208312</v>
      </c>
      <c r="F87" s="5">
        <v>9375542415</v>
      </c>
      <c r="G87" s="10">
        <f t="shared" si="11"/>
        <v>13832393997</v>
      </c>
      <c r="H87" s="5">
        <f t="shared" si="12"/>
        <v>9663889997</v>
      </c>
      <c r="I87" s="10">
        <f t="shared" si="13"/>
        <v>23496283994</v>
      </c>
      <c r="J87" s="15"/>
    </row>
    <row r="88" spans="1:10" x14ac:dyDescent="0.35">
      <c r="A88" s="22"/>
      <c r="B88" s="9" t="s">
        <v>17</v>
      </c>
      <c r="C88" s="5" cm="1">
        <f t="array" ref="C88:F88">'[3]2024'!$AJ$26:$AM$26</f>
        <v>699269061</v>
      </c>
      <c r="D88" s="5">
        <v>43825995</v>
      </c>
      <c r="E88" s="5">
        <v>3729043684</v>
      </c>
      <c r="F88" s="5">
        <v>8768651546</v>
      </c>
      <c r="G88" s="10">
        <f t="shared" si="11"/>
        <v>4428312745</v>
      </c>
      <c r="H88" s="5">
        <f t="shared" si="12"/>
        <v>8812477541</v>
      </c>
      <c r="I88" s="10">
        <f t="shared" si="13"/>
        <v>13240790286</v>
      </c>
      <c r="J88" s="15"/>
    </row>
    <row r="89" spans="1:10" x14ac:dyDescent="0.35">
      <c r="A89" s="22"/>
      <c r="B89" s="9" t="s">
        <v>18</v>
      </c>
      <c r="C89" s="5" cm="1">
        <f t="array" ref="C89:F89">'[3]2024'!$AJ$29:$AM$29</f>
        <v>0</v>
      </c>
      <c r="D89" s="5">
        <v>0</v>
      </c>
      <c r="E89" s="5">
        <v>3192684106</v>
      </c>
      <c r="F89" s="5">
        <v>5720501804</v>
      </c>
      <c r="G89" s="10">
        <f t="shared" si="11"/>
        <v>3192684106</v>
      </c>
      <c r="H89" s="5">
        <f t="shared" si="12"/>
        <v>5720501804</v>
      </c>
      <c r="I89" s="10">
        <f t="shared" si="13"/>
        <v>8913185910</v>
      </c>
      <c r="J89" s="15"/>
    </row>
    <row r="90" spans="1:10" x14ac:dyDescent="0.35">
      <c r="A90" s="22"/>
      <c r="B90" s="9" t="s">
        <v>19</v>
      </c>
      <c r="C90" s="5" cm="1">
        <f t="array" ref="C90:F90">'[3]2024'!$AJ$32:$AM$32</f>
        <v>0</v>
      </c>
      <c r="D90" s="5">
        <v>0</v>
      </c>
      <c r="E90" s="5">
        <v>-320640540</v>
      </c>
      <c r="F90" s="5">
        <v>6330861420</v>
      </c>
      <c r="G90" s="10">
        <f t="shared" si="11"/>
        <v>-320640540</v>
      </c>
      <c r="H90" s="5">
        <f t="shared" si="12"/>
        <v>6330861420</v>
      </c>
      <c r="I90" s="10">
        <f t="shared" si="13"/>
        <v>6010220880</v>
      </c>
      <c r="J90" s="15"/>
    </row>
    <row r="91" spans="1:10" x14ac:dyDescent="0.35">
      <c r="A91" s="22"/>
      <c r="B91" s="9" t="s">
        <v>20</v>
      </c>
      <c r="C91" s="5" cm="1">
        <f t="array" ref="C91:F91">'[3]2024'!$AJ$35:$AM$35</f>
        <v>106841817493</v>
      </c>
      <c r="D91" s="5">
        <v>36570961421</v>
      </c>
      <c r="E91" s="5">
        <v>14709766533</v>
      </c>
      <c r="F91" s="5">
        <v>6710787522</v>
      </c>
      <c r="G91" s="10">
        <f t="shared" si="11"/>
        <v>121551584026</v>
      </c>
      <c r="H91" s="5">
        <f t="shared" si="12"/>
        <v>43281748943</v>
      </c>
      <c r="I91" s="10">
        <f t="shared" si="13"/>
        <v>164833332969</v>
      </c>
      <c r="J91" s="15"/>
    </row>
    <row r="92" spans="1:10" x14ac:dyDescent="0.35">
      <c r="A92" s="22"/>
      <c r="B92" s="9" t="s">
        <v>21</v>
      </c>
      <c r="C92" s="5" cm="1">
        <f t="array" ref="C92:F92">'[3]2024'!$AJ$38:$AM$38</f>
        <v>9058747468</v>
      </c>
      <c r="D92" s="5">
        <v>2923860135</v>
      </c>
      <c r="E92" s="5">
        <v>29622172566</v>
      </c>
      <c r="F92" s="5">
        <v>4999390281</v>
      </c>
      <c r="G92" s="10">
        <f t="shared" si="11"/>
        <v>38680920034</v>
      </c>
      <c r="H92" s="5">
        <f t="shared" si="12"/>
        <v>7923250416</v>
      </c>
      <c r="I92" s="10">
        <f t="shared" si="13"/>
        <v>46604170450</v>
      </c>
      <c r="J92" s="15"/>
    </row>
    <row r="93" spans="1:10" x14ac:dyDescent="0.35">
      <c r="A93" s="22"/>
      <c r="B93" s="9" t="s">
        <v>26</v>
      </c>
      <c r="C93" s="5" cm="1">
        <f t="array" ref="C93:F93">'[3]2024'!$AJ$41:$AM$41</f>
        <v>1647751857</v>
      </c>
      <c r="D93" s="5">
        <v>-194308632</v>
      </c>
      <c r="E93" s="5">
        <v>5843063651</v>
      </c>
      <c r="F93" s="5">
        <v>-5175988449</v>
      </c>
      <c r="G93" s="10">
        <f t="shared" si="11"/>
        <v>7490815508</v>
      </c>
      <c r="H93" s="5">
        <f t="shared" si="12"/>
        <v>-5370297081</v>
      </c>
      <c r="I93" s="10">
        <f t="shared" si="13"/>
        <v>2120518427</v>
      </c>
      <c r="J93" s="15"/>
    </row>
    <row r="94" spans="1:10" s="1" customFormat="1" x14ac:dyDescent="0.35">
      <c r="A94" s="22"/>
      <c r="B94" s="51" t="s">
        <v>43</v>
      </c>
      <c r="C94" s="13">
        <f t="shared" ref="C94:F94" si="14">SUM(C80:C93)</f>
        <v>150006027932.13254</v>
      </c>
      <c r="D94" s="13">
        <f t="shared" si="14"/>
        <v>43332545001.232796</v>
      </c>
      <c r="E94" s="13">
        <f t="shared" si="14"/>
        <v>118196538254.1534</v>
      </c>
      <c r="F94" s="13">
        <f t="shared" si="14"/>
        <v>129737532073.84</v>
      </c>
      <c r="G94" s="14">
        <f>SUM(G80:G93)</f>
        <v>268202566186.28595</v>
      </c>
      <c r="H94" s="13">
        <f>SUM(H80:H93)</f>
        <v>173070077075.07281</v>
      </c>
      <c r="I94" s="14">
        <f>SUM(I80:I93)</f>
        <v>441272643261.35876</v>
      </c>
      <c r="J94" s="16"/>
    </row>
    <row r="95" spans="1:10" s="1" customFormat="1" x14ac:dyDescent="0.35">
      <c r="A95" s="50"/>
      <c r="B95" s="38" t="s">
        <v>23</v>
      </c>
      <c r="C95" s="95">
        <f>C94+D94</f>
        <v>193338572933.36533</v>
      </c>
      <c r="D95" s="95"/>
      <c r="E95" s="95">
        <f>E94+F94</f>
        <v>247934070327.99341</v>
      </c>
      <c r="F95" s="95"/>
      <c r="G95" s="45"/>
      <c r="H95" s="46"/>
      <c r="I95" s="49">
        <f>C95+E95-I94</f>
        <v>0</v>
      </c>
      <c r="J95" s="47"/>
    </row>
    <row r="96" spans="1:10" x14ac:dyDescent="0.35">
      <c r="A96" s="37"/>
      <c r="B96" s="30"/>
      <c r="C96" s="33"/>
      <c r="D96" s="33"/>
      <c r="E96" s="33"/>
      <c r="F96" s="33"/>
      <c r="G96" s="32"/>
      <c r="H96" s="33"/>
      <c r="I96" s="32"/>
    </row>
    <row r="97" spans="1:10" x14ac:dyDescent="0.35">
      <c r="A97" s="7">
        <v>2025</v>
      </c>
      <c r="B97" s="9" t="s">
        <v>9</v>
      </c>
      <c r="C97" s="5" cm="1">
        <f t="array" ref="C97:D97">'[4]2025'!$AA$4:$AB$4</f>
        <v>4569540171</v>
      </c>
      <c r="D97" s="5">
        <v>1096266645</v>
      </c>
      <c r="E97" s="5" cm="1">
        <f t="array" ref="E97:F97">'[4]2025'!$W$4:$X$4</f>
        <v>21991395667</v>
      </c>
      <c r="F97" s="5">
        <v>32006451881</v>
      </c>
      <c r="G97" s="10">
        <f t="shared" ref="G97:G110" si="15">C97+E97</f>
        <v>26560935838</v>
      </c>
      <c r="H97" s="5">
        <f t="shared" ref="H97:H110" si="16">D97+F97</f>
        <v>33102718526</v>
      </c>
      <c r="I97" s="10">
        <f t="shared" ref="I97:I110" si="17">G97+H97</f>
        <v>59663654364</v>
      </c>
      <c r="J97" s="15"/>
    </row>
    <row r="98" spans="1:10" x14ac:dyDescent="0.35">
      <c r="A98" s="28"/>
      <c r="B98" s="9" t="s">
        <v>11</v>
      </c>
      <c r="C98" s="5" cm="1">
        <f t="array" ref="C98:D98">'[4]2025'!$AA$6:$AB$6</f>
        <v>1561605532.6903911</v>
      </c>
      <c r="D98" s="5">
        <v>441053371.40990043</v>
      </c>
      <c r="E98" s="5" cm="1">
        <f t="array" ref="E98:F98">'[4]2025'!$W$6:$X$6</f>
        <v>2571274536.7065735</v>
      </c>
      <c r="F98" s="5">
        <v>12751873871.590099</v>
      </c>
      <c r="G98" s="10">
        <f t="shared" si="15"/>
        <v>4132880069.3969646</v>
      </c>
      <c r="H98" s="5">
        <f t="shared" si="16"/>
        <v>13192927243</v>
      </c>
      <c r="I98" s="10">
        <f t="shared" si="17"/>
        <v>17325807312.396965</v>
      </c>
      <c r="J98" s="15"/>
    </row>
    <row r="99" spans="1:10" x14ac:dyDescent="0.35">
      <c r="A99" s="22"/>
      <c r="B99" s="9" t="s">
        <v>10</v>
      </c>
      <c r="C99" s="5" cm="1">
        <f t="array" ref="C99:D99">'[4]2025'!$AA$9:$AB$9</f>
        <v>1538688345.7187126</v>
      </c>
      <c r="D99" s="5">
        <v>436927114.44309962</v>
      </c>
      <c r="E99" s="5" cm="1">
        <f t="array" ref="E99:F99">'[4]2025'!$W$9:$X$9</f>
        <v>2728324244.3040824</v>
      </c>
      <c r="F99" s="5">
        <v>11680450530.5569</v>
      </c>
      <c r="G99" s="10">
        <f t="shared" si="15"/>
        <v>4267012590.0227947</v>
      </c>
      <c r="H99" s="5">
        <f t="shared" si="16"/>
        <v>12117377645</v>
      </c>
      <c r="I99" s="10">
        <f t="shared" si="17"/>
        <v>16384390235.022795</v>
      </c>
      <c r="J99" s="15"/>
    </row>
    <row r="100" spans="1:10" x14ac:dyDescent="0.35">
      <c r="A100" s="22"/>
      <c r="B100" s="9" t="s">
        <v>12</v>
      </c>
      <c r="C100" s="5" cm="1">
        <f t="array" ref="C100:D100">'[4]2025'!$AA$12:$AB$12</f>
        <v>1419381690.268306</v>
      </c>
      <c r="D100" s="5">
        <v>376388285.79350644</v>
      </c>
      <c r="E100" s="5" cm="1">
        <f t="array" ref="E100:F100">'[4]2025'!$W$12:$X$12</f>
        <v>7894605417.1446314</v>
      </c>
      <c r="F100" s="5">
        <v>11452526640.206493</v>
      </c>
      <c r="G100" s="10">
        <f t="shared" si="15"/>
        <v>9313987107.4129372</v>
      </c>
      <c r="H100" s="5">
        <f t="shared" si="16"/>
        <v>11828914926</v>
      </c>
      <c r="I100" s="10">
        <f t="shared" si="17"/>
        <v>21142902033.412937</v>
      </c>
      <c r="J100" s="15"/>
    </row>
    <row r="101" spans="1:10" x14ac:dyDescent="0.35">
      <c r="A101" s="22"/>
      <c r="B101" s="9" t="s">
        <v>13</v>
      </c>
      <c r="C101" s="5" cm="1">
        <f t="array" ref="C101:D101">'[4]2025'!$AA$15:$AB$15</f>
        <v>1618540018.4343174</v>
      </c>
      <c r="D101" s="5">
        <v>420569548.02749509</v>
      </c>
      <c r="E101" s="5" cm="1">
        <f t="array" ref="E101:F101">'[4]2025'!$W$15:$X$15</f>
        <v>4853714898.8146048</v>
      </c>
      <c r="F101" s="5">
        <v>12922937828.972506</v>
      </c>
      <c r="G101" s="10">
        <f t="shared" si="15"/>
        <v>6472254917.2489223</v>
      </c>
      <c r="H101" s="5">
        <f t="shared" si="16"/>
        <v>13343507377</v>
      </c>
      <c r="I101" s="10">
        <f t="shared" si="17"/>
        <v>19815762294.248924</v>
      </c>
      <c r="J101" s="15"/>
    </row>
    <row r="102" spans="1:10" x14ac:dyDescent="0.35">
      <c r="A102" s="22"/>
      <c r="B102" s="9" t="s">
        <v>14</v>
      </c>
      <c r="C102" s="5" cm="1">
        <f t="array" ref="C102:D102">'[4]2025'!$AA$18:$AB$18</f>
        <v>1580433357</v>
      </c>
      <c r="D102" s="5">
        <v>397496687</v>
      </c>
      <c r="E102" s="5" cm="1">
        <f t="array" ref="E102:F102">'[4]2025'!$W$18:$X$18</f>
        <v>3025787060.5609374</v>
      </c>
      <c r="F102" s="5">
        <v>12457152365.026562</v>
      </c>
      <c r="G102" s="10">
        <f t="shared" si="15"/>
        <v>4606220417.5609379</v>
      </c>
      <c r="H102" s="5">
        <f t="shared" si="16"/>
        <v>12854649052.026562</v>
      </c>
      <c r="I102" s="10">
        <f t="shared" si="17"/>
        <v>17460869469.587502</v>
      </c>
      <c r="J102" s="15"/>
    </row>
    <row r="103" spans="1:10" x14ac:dyDescent="0.35">
      <c r="A103" s="22"/>
      <c r="B103" s="9" t="s">
        <v>15</v>
      </c>
      <c r="C103" s="5" cm="1">
        <f t="array" ref="C103:D103">'[4]2025'!$AA$21:$AB$21</f>
        <v>1648687253</v>
      </c>
      <c r="D103" s="5">
        <v>421192054</v>
      </c>
      <c r="E103" s="5" cm="1">
        <f t="array" ref="E103:F103">'[4]2025'!$W$21:$X$21</f>
        <v>8456446570.1929703</v>
      </c>
      <c r="F103" s="5">
        <v>12288321994.99489</v>
      </c>
      <c r="G103" s="10">
        <f t="shared" si="15"/>
        <v>10105133823.19297</v>
      </c>
      <c r="H103" s="5">
        <f t="shared" si="16"/>
        <v>12709514048.99489</v>
      </c>
      <c r="I103" s="10">
        <f t="shared" si="17"/>
        <v>22814647872.187859</v>
      </c>
      <c r="J103" s="15"/>
    </row>
    <row r="104" spans="1:10" x14ac:dyDescent="0.35">
      <c r="A104" s="22"/>
      <c r="B104" s="9" t="s">
        <v>16</v>
      </c>
      <c r="C104" s="5" cm="1">
        <f t="array" ref="C104:D104">'[4]2025'!$AA$24:$AB$24</f>
        <v>1217544874</v>
      </c>
      <c r="D104" s="5">
        <v>214967468</v>
      </c>
      <c r="E104" s="5" cm="1">
        <f t="array" ref="E104:F104">'[4]2025'!$W$24:$X$24</f>
        <v>7728035056.1763706</v>
      </c>
      <c r="F104" s="5">
        <v>11851593735.044529</v>
      </c>
      <c r="G104" s="10">
        <f t="shared" si="15"/>
        <v>8945579930.1763706</v>
      </c>
      <c r="H104" s="5">
        <f t="shared" si="16"/>
        <v>12066561203.044529</v>
      </c>
      <c r="I104" s="10">
        <f t="shared" si="17"/>
        <v>21012141133.220901</v>
      </c>
      <c r="J104" s="15"/>
    </row>
    <row r="105" spans="1:10" x14ac:dyDescent="0.35">
      <c r="A105" s="22"/>
      <c r="B105" s="9" t="s">
        <v>17</v>
      </c>
      <c r="C105" s="5" cm="1">
        <f t="array" ref="C105:D105">'[4]2025'!$AA$27:$AB$27</f>
        <v>1303477409.4980805</v>
      </c>
      <c r="D105" s="5">
        <v>279893562.4228766</v>
      </c>
      <c r="E105" s="5" cm="1">
        <f t="array" ref="E105:F105">'[4]2025'!$W$27:$X$27</f>
        <v>3728914624.4986014</v>
      </c>
      <c r="F105" s="5">
        <v>11829699117.896267</v>
      </c>
      <c r="G105" s="10">
        <f t="shared" si="15"/>
        <v>5032392033.9966822</v>
      </c>
      <c r="H105" s="5">
        <f t="shared" si="16"/>
        <v>12109592680.319143</v>
      </c>
      <c r="I105" s="10">
        <f t="shared" si="17"/>
        <v>17141984714.315826</v>
      </c>
      <c r="J105" s="15"/>
    </row>
    <row r="106" spans="1:10" x14ac:dyDescent="0.35">
      <c r="A106" s="22"/>
      <c r="B106" s="9" t="s">
        <v>18</v>
      </c>
      <c r="C106" s="11" cm="1">
        <f t="array" ref="C106:D106">'[4]2025'!$AA$30:$AB$30</f>
        <v>500542320</v>
      </c>
      <c r="D106" s="11">
        <v>166508327</v>
      </c>
      <c r="E106" s="10" cm="1">
        <f t="array" ref="E106:F106">'[4]2025'!$W$30:$X$30</f>
        <v>3399387231.5429783</v>
      </c>
      <c r="F106" s="10">
        <v>7333981932.5946903</v>
      </c>
      <c r="G106" s="10">
        <f t="shared" si="15"/>
        <v>3899929551.5429783</v>
      </c>
      <c r="H106" s="5">
        <f t="shared" si="16"/>
        <v>7500490259.5946903</v>
      </c>
      <c r="I106" s="10">
        <f t="shared" si="17"/>
        <v>11400419811.137669</v>
      </c>
      <c r="J106" s="15"/>
    </row>
    <row r="107" spans="1:10" x14ac:dyDescent="0.35">
      <c r="A107" s="22"/>
      <c r="B107" s="9" t="s">
        <v>19</v>
      </c>
      <c r="C107" s="11" cm="1">
        <f t="array" ref="C107:D107">'[4]2025'!$AA$33:$AB$33</f>
        <v>108382718257.84303</v>
      </c>
      <c r="D107" s="11">
        <v>32352697481.957253</v>
      </c>
      <c r="E107" s="10" cm="1">
        <f t="array" ref="E107:F107">'[4]2025'!$W$33:$X$33</f>
        <v>19768069802.571281</v>
      </c>
      <c r="F107" s="10">
        <v>9357234905.9778023</v>
      </c>
      <c r="G107" s="10">
        <f t="shared" si="15"/>
        <v>128150788060.41431</v>
      </c>
      <c r="H107" s="5">
        <f t="shared" si="16"/>
        <v>41709932387.935059</v>
      </c>
      <c r="I107" s="10">
        <f t="shared" si="17"/>
        <v>169860720448.34937</v>
      </c>
      <c r="J107" s="15"/>
    </row>
    <row r="108" spans="1:10" x14ac:dyDescent="0.35">
      <c r="A108" s="22"/>
      <c r="B108" s="9" t="s">
        <v>20</v>
      </c>
      <c r="C108" s="11" cm="1">
        <f t="array" ref="C108:D108">'[4]2025'!$AA$36:$AB$36</f>
        <v>10653761346.14732</v>
      </c>
      <c r="D108" s="11">
        <v>3490405055.3040495</v>
      </c>
      <c r="E108" s="10" cm="1">
        <f t="array" ref="E108:F108">'[4]2025'!$W$36:$X$36</f>
        <v>6738138834</v>
      </c>
      <c r="F108" s="10">
        <v>5901421229.33424</v>
      </c>
      <c r="G108" s="10">
        <f t="shared" si="15"/>
        <v>17391900180.14732</v>
      </c>
      <c r="H108" s="5">
        <f t="shared" si="16"/>
        <v>9391826284.6382904</v>
      </c>
      <c r="I108" s="10">
        <f t="shared" si="17"/>
        <v>26783726464.78561</v>
      </c>
      <c r="J108" s="15"/>
    </row>
    <row r="109" spans="1:10" x14ac:dyDescent="0.35">
      <c r="A109" s="22"/>
      <c r="B109" s="9" t="s">
        <v>21</v>
      </c>
      <c r="C109" s="11" cm="1">
        <f t="array" ref="C109:D109">'[4]2025'!$AA$39:$AB$39</f>
        <v>9817681721.8965549</v>
      </c>
      <c r="D109" s="11">
        <v>3747976289.2777586</v>
      </c>
      <c r="E109" s="10" cm="1">
        <f t="array" ref="E109:F109">'[4]2025'!$W$39:$X$39</f>
        <v>33090222159</v>
      </c>
      <c r="F109" s="10">
        <v>5913088929.3967009</v>
      </c>
      <c r="G109" s="10">
        <f t="shared" si="15"/>
        <v>42907903880.896553</v>
      </c>
      <c r="H109" s="5">
        <f t="shared" si="16"/>
        <v>9661065218.6744595</v>
      </c>
      <c r="I109" s="10">
        <f t="shared" si="17"/>
        <v>52568969099.571014</v>
      </c>
      <c r="J109" s="15"/>
    </row>
    <row r="110" spans="1:10" x14ac:dyDescent="0.35">
      <c r="A110" s="22"/>
      <c r="B110" s="9" t="s">
        <v>26</v>
      </c>
      <c r="C110" s="11" cm="1">
        <f t="array" ref="C110:D110">'[4]2025'!$AA$44:$AB$44</f>
        <v>1034035137.8327637</v>
      </c>
      <c r="D110" s="11">
        <v>374574186.00518036</v>
      </c>
      <c r="E110" s="10" cm="1">
        <f t="array" ref="E110:F110">'[4]2025'!$W$44:$X$44</f>
        <v>3267365715.901535</v>
      </c>
      <c r="F110" s="10">
        <v>-11967118774.569672</v>
      </c>
      <c r="G110" s="10">
        <f t="shared" si="15"/>
        <v>4301400853.7342987</v>
      </c>
      <c r="H110" s="5">
        <f t="shared" si="16"/>
        <v>-11592544588.564491</v>
      </c>
      <c r="I110" s="10">
        <f t="shared" si="17"/>
        <v>-7291143734.8301926</v>
      </c>
      <c r="J110" s="15"/>
    </row>
    <row r="111" spans="1:10" x14ac:dyDescent="0.35">
      <c r="A111" s="22"/>
      <c r="B111" s="12" t="s">
        <v>43</v>
      </c>
      <c r="C111" s="14">
        <f t="shared" ref="C111:F111" si="18">SUM(C97:C110)</f>
        <v>146846637435.32947</v>
      </c>
      <c r="D111" s="14">
        <f t="shared" si="18"/>
        <v>44216916075.641113</v>
      </c>
      <c r="E111" s="14">
        <f t="shared" si="18"/>
        <v>129241681818.41457</v>
      </c>
      <c r="F111" s="14">
        <f t="shared" si="18"/>
        <v>145779616188.022</v>
      </c>
      <c r="G111" s="14">
        <f>SUM(G97:G110)</f>
        <v>276088319253.74402</v>
      </c>
      <c r="H111" s="14">
        <f>SUM(H97:H110)</f>
        <v>189996532263.66315</v>
      </c>
      <c r="I111" s="14">
        <f>SUM(I97:I110)</f>
        <v>466084851517.4071</v>
      </c>
      <c r="J111" s="16"/>
    </row>
    <row r="112" spans="1:10" x14ac:dyDescent="0.35">
      <c r="A112" s="23"/>
      <c r="B112" s="12" t="s">
        <v>23</v>
      </c>
      <c r="C112" s="92">
        <f>C111+D111</f>
        <v>191063553510.97058</v>
      </c>
      <c r="D112" s="92"/>
      <c r="E112" s="92">
        <f>E111+F111</f>
        <v>275021298006.43658</v>
      </c>
      <c r="F112" s="92"/>
      <c r="G112" s="48"/>
      <c r="H112" s="48"/>
      <c r="I112" s="49">
        <f>C112+E112-I111</f>
        <v>0</v>
      </c>
      <c r="J112" s="47"/>
    </row>
    <row r="114" spans="1:10" x14ac:dyDescent="0.35">
      <c r="A114" s="7">
        <v>2026</v>
      </c>
      <c r="B114" s="9" t="s">
        <v>9</v>
      </c>
      <c r="C114" s="5" cm="1">
        <f t="array" ref="C114:D114">'[5]2026'!$W$3:$X$3</f>
        <v>4632714037.537178</v>
      </c>
      <c r="D114" s="5">
        <v>1129877109.9058206</v>
      </c>
      <c r="E114" s="5" cm="1">
        <f t="array" ref="E114:F114">'[5]2026'!$R$3:$S$3</f>
        <v>26050792014</v>
      </c>
      <c r="F114" s="5">
        <v>33244171426.821918</v>
      </c>
      <c r="G114" s="10">
        <f t="shared" ref="G114:G127" si="19">C114+E114</f>
        <v>30683506051.537178</v>
      </c>
      <c r="H114" s="5">
        <f t="shared" ref="H114:H127" si="20">D114+F114</f>
        <v>34374048536.727737</v>
      </c>
      <c r="I114" s="10">
        <f t="shared" ref="I114:I127" si="21">G114+H114</f>
        <v>65057554588.264915</v>
      </c>
      <c r="J114" s="15"/>
    </row>
    <row r="115" spans="1:10" x14ac:dyDescent="0.35">
      <c r="A115" s="28"/>
      <c r="B115" s="9" t="s">
        <v>11</v>
      </c>
      <c r="C115" s="5" cm="1">
        <f t="array" ref="C115:D115">'[5]2026'!$W$5:$X$5</f>
        <v>1763370968.4045618</v>
      </c>
      <c r="D115" s="5">
        <v>441956719.37970471</v>
      </c>
      <c r="E115" s="5" cm="1">
        <f t="array" ref="E115:F115">'[5]2026'!$R$5:$S$5</f>
        <v>3389323377.3880925</v>
      </c>
      <c r="F115" s="5">
        <v>14561199379</v>
      </c>
      <c r="G115" s="10">
        <f t="shared" si="19"/>
        <v>5152694345.792654</v>
      </c>
      <c r="H115" s="5">
        <f t="shared" si="20"/>
        <v>15003156098.379705</v>
      </c>
      <c r="I115" s="10">
        <f t="shared" si="21"/>
        <v>20155850444.172359</v>
      </c>
      <c r="J115" s="15"/>
    </row>
    <row r="116" spans="1:10" x14ac:dyDescent="0.35">
      <c r="A116" s="22"/>
      <c r="B116" s="9" t="s">
        <v>10</v>
      </c>
      <c r="C116" s="5" cm="1">
        <f t="array" ref="C116:D116">'[5]2026'!$W$8:$X$8</f>
        <v>1749046571.8018486</v>
      </c>
      <c r="D116" s="5">
        <v>387256150.8220048</v>
      </c>
      <c r="E116" s="5" cm="1">
        <f t="array" ref="E116:F116">'[5]2026'!$R$8:$S$8</f>
        <v>3499841571.6281552</v>
      </c>
      <c r="F116" s="5">
        <v>12408231918</v>
      </c>
      <c r="G116" s="10">
        <f t="shared" si="19"/>
        <v>5248888143.4300041</v>
      </c>
      <c r="H116" s="5">
        <f t="shared" si="20"/>
        <v>12795488068.822004</v>
      </c>
      <c r="I116" s="10">
        <f t="shared" si="21"/>
        <v>18044376212.252007</v>
      </c>
      <c r="J116" s="15"/>
    </row>
    <row r="117" spans="1:10" x14ac:dyDescent="0.35">
      <c r="A117" s="22"/>
      <c r="B117" s="9" t="s">
        <v>12</v>
      </c>
      <c r="C117" s="5" cm="1">
        <f t="array" ref="C117:D117">'[5]2026'!$W$11:$X$11</f>
        <v>1429023917.9575298</v>
      </c>
      <c r="D117" s="5">
        <v>651920607.32179749</v>
      </c>
      <c r="E117" s="5" cm="1">
        <f t="array" ref="E117:F117">'[5]2026'!$R$11:$S$11</f>
        <v>7684691225.1424208</v>
      </c>
      <c r="F117" s="5">
        <v>13765046990</v>
      </c>
      <c r="G117" s="10">
        <f t="shared" si="19"/>
        <v>9113715143.0999508</v>
      </c>
      <c r="H117" s="5">
        <f t="shared" si="20"/>
        <v>14416967597.321798</v>
      </c>
      <c r="I117" s="10">
        <f t="shared" si="21"/>
        <v>23530682740.421749</v>
      </c>
      <c r="J117" s="15"/>
    </row>
    <row r="118" spans="1:10" x14ac:dyDescent="0.35">
      <c r="A118" s="22"/>
      <c r="B118" s="9" t="s">
        <v>13</v>
      </c>
      <c r="C118" s="5" cm="1">
        <f t="array" ref="C118:D118">'[5]2026'!$W$14:$X$14</f>
        <v>1492032525.9411261</v>
      </c>
      <c r="D118" s="5">
        <v>698553063.56600082</v>
      </c>
      <c r="E118" s="5" cm="1">
        <f t="array" ref="E118:F118">'[5]2026'!$R$14:$S$14</f>
        <v>5643701367.0275335</v>
      </c>
      <c r="F118" s="5">
        <v>13289097340</v>
      </c>
      <c r="G118" s="10">
        <f t="shared" si="19"/>
        <v>7135733892.9686594</v>
      </c>
      <c r="H118" s="5">
        <f t="shared" si="20"/>
        <v>13987650403.566</v>
      </c>
      <c r="I118" s="10">
        <f t="shared" si="21"/>
        <v>21123384296.53466</v>
      </c>
      <c r="J118" s="15"/>
    </row>
    <row r="119" spans="1:10" x14ac:dyDescent="0.35">
      <c r="A119" s="22"/>
      <c r="B119" s="9" t="s">
        <v>14</v>
      </c>
      <c r="C119" s="5">
        <f>'[5]2026'!$W$17</f>
        <v>1556847830.6315308</v>
      </c>
      <c r="D119" s="5">
        <f>'[5]2026'!$X$17</f>
        <v>715073824.6419878</v>
      </c>
      <c r="E119" s="5">
        <f>'[5]2026'!$R$17</f>
        <v>9919576778.045826</v>
      </c>
      <c r="F119" s="5">
        <f>'[5]2026'!$S$17</f>
        <v>12960919155.358013</v>
      </c>
      <c r="G119" s="10">
        <f t="shared" si="19"/>
        <v>11476424608.677357</v>
      </c>
      <c r="H119" s="5">
        <f t="shared" si="20"/>
        <v>13675992980</v>
      </c>
      <c r="I119" s="10">
        <f t="shared" si="21"/>
        <v>25152417588.677357</v>
      </c>
      <c r="J119" s="15"/>
    </row>
    <row r="120" spans="1:10" x14ac:dyDescent="0.35">
      <c r="A120" s="22"/>
      <c r="B120" s="9" t="s">
        <v>15</v>
      </c>
      <c r="C120" s="5"/>
      <c r="D120" s="5"/>
      <c r="E120" s="5"/>
      <c r="F120" s="5"/>
      <c r="G120" s="10">
        <f t="shared" si="19"/>
        <v>0</v>
      </c>
      <c r="H120" s="5">
        <f t="shared" si="20"/>
        <v>0</v>
      </c>
      <c r="I120" s="10">
        <f t="shared" si="21"/>
        <v>0</v>
      </c>
      <c r="J120" s="15"/>
    </row>
    <row r="121" spans="1:10" x14ac:dyDescent="0.35">
      <c r="A121" s="22"/>
      <c r="B121" s="9" t="s">
        <v>16</v>
      </c>
      <c r="C121" s="5"/>
      <c r="D121" s="5"/>
      <c r="E121" s="5"/>
      <c r="F121" s="5"/>
      <c r="G121" s="10">
        <f t="shared" si="19"/>
        <v>0</v>
      </c>
      <c r="H121" s="5">
        <f t="shared" si="20"/>
        <v>0</v>
      </c>
      <c r="I121" s="10">
        <f t="shared" si="21"/>
        <v>0</v>
      </c>
      <c r="J121" s="15"/>
    </row>
    <row r="122" spans="1:10" x14ac:dyDescent="0.35">
      <c r="A122" s="22"/>
      <c r="B122" s="9" t="s">
        <v>17</v>
      </c>
      <c r="C122" s="5"/>
      <c r="D122" s="5"/>
      <c r="E122" s="5"/>
      <c r="F122" s="5"/>
      <c r="G122" s="10">
        <f t="shared" si="19"/>
        <v>0</v>
      </c>
      <c r="H122" s="5">
        <f t="shared" si="20"/>
        <v>0</v>
      </c>
      <c r="I122" s="10">
        <f t="shared" si="21"/>
        <v>0</v>
      </c>
      <c r="J122" s="15"/>
    </row>
    <row r="123" spans="1:10" x14ac:dyDescent="0.35">
      <c r="A123" s="22"/>
      <c r="B123" s="9" t="s">
        <v>18</v>
      </c>
      <c r="C123" s="11"/>
      <c r="D123" s="11"/>
      <c r="E123" s="10"/>
      <c r="F123" s="10"/>
      <c r="G123" s="10">
        <f t="shared" si="19"/>
        <v>0</v>
      </c>
      <c r="H123" s="5">
        <f t="shared" si="20"/>
        <v>0</v>
      </c>
      <c r="I123" s="10">
        <f t="shared" si="21"/>
        <v>0</v>
      </c>
      <c r="J123" s="15"/>
    </row>
    <row r="124" spans="1:10" x14ac:dyDescent="0.35">
      <c r="A124" s="22"/>
      <c r="B124" s="9" t="s">
        <v>19</v>
      </c>
      <c r="C124" s="11"/>
      <c r="D124" s="11"/>
      <c r="E124" s="10"/>
      <c r="F124" s="10"/>
      <c r="G124" s="10">
        <f t="shared" si="19"/>
        <v>0</v>
      </c>
      <c r="H124" s="5">
        <f t="shared" si="20"/>
        <v>0</v>
      </c>
      <c r="I124" s="10">
        <f t="shared" si="21"/>
        <v>0</v>
      </c>
      <c r="J124" s="15"/>
    </row>
    <row r="125" spans="1:10" x14ac:dyDescent="0.35">
      <c r="A125" s="22"/>
      <c r="B125" s="9" t="s">
        <v>20</v>
      </c>
      <c r="C125" s="11"/>
      <c r="D125" s="11"/>
      <c r="E125" s="10"/>
      <c r="F125" s="10"/>
      <c r="G125" s="10">
        <f t="shared" si="19"/>
        <v>0</v>
      </c>
      <c r="H125" s="5">
        <f t="shared" si="20"/>
        <v>0</v>
      </c>
      <c r="I125" s="10">
        <f t="shared" si="21"/>
        <v>0</v>
      </c>
      <c r="J125" s="15"/>
    </row>
    <row r="126" spans="1:10" x14ac:dyDescent="0.35">
      <c r="A126" s="22"/>
      <c r="B126" s="9" t="s">
        <v>21</v>
      </c>
      <c r="C126" s="11"/>
      <c r="D126" s="11"/>
      <c r="E126" s="10"/>
      <c r="F126" s="10"/>
      <c r="G126" s="10">
        <f t="shared" si="19"/>
        <v>0</v>
      </c>
      <c r="H126" s="5">
        <f t="shared" si="20"/>
        <v>0</v>
      </c>
      <c r="I126" s="10">
        <f t="shared" si="21"/>
        <v>0</v>
      </c>
      <c r="J126" s="15"/>
    </row>
    <row r="127" spans="1:10" x14ac:dyDescent="0.35">
      <c r="A127" s="22"/>
      <c r="B127" s="9" t="s">
        <v>26</v>
      </c>
      <c r="C127" s="11"/>
      <c r="D127" s="11"/>
      <c r="E127" s="10"/>
      <c r="F127" s="10"/>
      <c r="G127" s="10">
        <f t="shared" si="19"/>
        <v>0</v>
      </c>
      <c r="H127" s="5">
        <f t="shared" si="20"/>
        <v>0</v>
      </c>
      <c r="I127" s="10">
        <f t="shared" si="21"/>
        <v>0</v>
      </c>
      <c r="J127" s="15"/>
    </row>
    <row r="128" spans="1:10" x14ac:dyDescent="0.35">
      <c r="A128" s="22"/>
      <c r="B128" s="12" t="s">
        <v>43</v>
      </c>
      <c r="C128" s="14">
        <f t="shared" ref="C128" si="22">SUM(C114:C127)</f>
        <v>12623035852.273775</v>
      </c>
      <c r="D128" s="14">
        <f t="shared" ref="D128" si="23">SUM(D114:D127)</f>
        <v>4024637475.6373162</v>
      </c>
      <c r="E128" s="14">
        <f t="shared" ref="E128" si="24">SUM(E114:E127)</f>
        <v>56187926333.232025</v>
      </c>
      <c r="F128" s="14">
        <f t="shared" ref="F128" si="25">SUM(F114:F127)</f>
        <v>100228666209.17993</v>
      </c>
      <c r="G128" s="14">
        <f t="shared" ref="G128" si="26">SUM(G114:G127)</f>
        <v>68810962185.505814</v>
      </c>
      <c r="H128" s="14">
        <f t="shared" ref="H128" si="27">SUM(H114:H127)</f>
        <v>104253303684.81725</v>
      </c>
      <c r="I128" s="14">
        <f>SUM(I114:I127)</f>
        <v>173064265870.32306</v>
      </c>
      <c r="J128" s="16"/>
    </row>
    <row r="129" spans="1:9" x14ac:dyDescent="0.35">
      <c r="A129" s="50"/>
      <c r="B129" s="12" t="s">
        <v>23</v>
      </c>
      <c r="C129" s="93">
        <f>C128+D128</f>
        <v>16647673327.911091</v>
      </c>
      <c r="D129" s="94"/>
      <c r="E129" s="93">
        <f>E128+F128</f>
        <v>156416592542.41196</v>
      </c>
      <c r="F129" s="94"/>
      <c r="I129" s="49">
        <f>C129+E129-I128</f>
        <v>0</v>
      </c>
    </row>
    <row r="132" spans="1:9" x14ac:dyDescent="0.35">
      <c r="D132" s="4">
        <f>C129+C112+C95+C78+C61+C43+C25+C8</f>
        <v>1144163371390.447</v>
      </c>
    </row>
  </sheetData>
  <mergeCells count="39">
    <mergeCell ref="C43:D43"/>
    <mergeCell ref="E43:F43"/>
    <mergeCell ref="B3:B4"/>
    <mergeCell ref="E3:F3"/>
    <mergeCell ref="A3:A4"/>
    <mergeCell ref="E8:F8"/>
    <mergeCell ref="E11:E15"/>
    <mergeCell ref="F11:F15"/>
    <mergeCell ref="C11:C15"/>
    <mergeCell ref="D11:D15"/>
    <mergeCell ref="C8:D8"/>
    <mergeCell ref="C3:D3"/>
    <mergeCell ref="C28:C32"/>
    <mergeCell ref="D28:D32"/>
    <mergeCell ref="E28:E32"/>
    <mergeCell ref="F28:F32"/>
    <mergeCell ref="C25:D25"/>
    <mergeCell ref="E25:F25"/>
    <mergeCell ref="J3:J4"/>
    <mergeCell ref="I28:I32"/>
    <mergeCell ref="G28:G32"/>
    <mergeCell ref="H28:H32"/>
    <mergeCell ref="I46:I49"/>
    <mergeCell ref="G46:G49"/>
    <mergeCell ref="G3:I3"/>
    <mergeCell ref="H46:H49"/>
    <mergeCell ref="I11:I15"/>
    <mergeCell ref="G11:G15"/>
    <mergeCell ref="H11:H15"/>
    <mergeCell ref="C112:D112"/>
    <mergeCell ref="E112:F112"/>
    <mergeCell ref="C129:D129"/>
    <mergeCell ref="E129:F129"/>
    <mergeCell ref="C61:D61"/>
    <mergeCell ref="E61:F61"/>
    <mergeCell ref="C78:D78"/>
    <mergeCell ref="E78:F78"/>
    <mergeCell ref="C95:D95"/>
    <mergeCell ref="E95:F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C1D8-A16C-4E0C-9368-1797C29FE9B2}">
  <dimension ref="B2:M102"/>
  <sheetViews>
    <sheetView tabSelected="1" zoomScale="70" zoomScaleNormal="70" workbookViewId="0">
      <pane xSplit="4" ySplit="2" topLeftCell="E12" activePane="bottomRight" state="frozen"/>
      <selection pane="topRight" activeCell="E1" sqref="E1"/>
      <selection pane="bottomLeft" activeCell="A3" sqref="A3"/>
      <selection pane="bottomRight" activeCell="K21" sqref="K21"/>
    </sheetView>
  </sheetViews>
  <sheetFormatPr defaultRowHeight="14.5" x14ac:dyDescent="0.35"/>
  <cols>
    <col min="1" max="1" width="2.81640625" customWidth="1"/>
    <col min="2" max="2" width="8.7265625" style="53"/>
    <col min="3" max="3" width="13" bestFit="1" customWidth="1"/>
    <col min="4" max="4" width="16.08984375" style="55" bestFit="1" customWidth="1"/>
    <col min="5" max="6" width="17.81640625" style="56" customWidth="1"/>
    <col min="7" max="7" width="20.81640625" style="56" customWidth="1"/>
    <col min="8" max="9" width="16" style="54" customWidth="1"/>
    <col min="10" max="10" width="16" style="57" customWidth="1"/>
    <col min="11" max="11" width="67.1796875" bestFit="1" customWidth="1"/>
    <col min="13" max="13" width="22.08984375" style="3" customWidth="1"/>
  </cols>
  <sheetData>
    <row r="2" spans="2:13" s="53" customFormat="1" x14ac:dyDescent="0.35">
      <c r="B2" s="91" t="s">
        <v>47</v>
      </c>
      <c r="C2" s="91"/>
      <c r="D2" s="58" t="s">
        <v>44</v>
      </c>
      <c r="E2" s="44" t="s">
        <v>45</v>
      </c>
      <c r="F2" s="59" t="s">
        <v>62</v>
      </c>
      <c r="G2" s="59" t="s">
        <v>46</v>
      </c>
      <c r="H2" s="60" t="s">
        <v>61</v>
      </c>
      <c r="I2" s="58" t="s">
        <v>57</v>
      </c>
      <c r="J2" s="61" t="s">
        <v>60</v>
      </c>
      <c r="K2" s="44" t="s">
        <v>7</v>
      </c>
      <c r="M2" s="79"/>
    </row>
    <row r="3" spans="2:13" x14ac:dyDescent="0.35">
      <c r="B3" s="12">
        <v>2019</v>
      </c>
      <c r="C3" s="8"/>
      <c r="D3" s="62">
        <v>43809</v>
      </c>
      <c r="E3" s="11"/>
      <c r="F3" s="63">
        <v>29727272727</v>
      </c>
      <c r="G3" s="63">
        <v>21182200781</v>
      </c>
      <c r="H3" s="64">
        <v>43812</v>
      </c>
      <c r="I3" s="65">
        <v>43819</v>
      </c>
      <c r="J3" s="66">
        <f>I3-H3</f>
        <v>7</v>
      </c>
      <c r="K3" s="15" t="s">
        <v>58</v>
      </c>
    </row>
    <row r="4" spans="2:13" ht="44" customHeight="1" x14ac:dyDescent="0.35">
      <c r="B4" s="83">
        <v>2020</v>
      </c>
      <c r="C4" s="84"/>
      <c r="D4" s="85">
        <v>43969</v>
      </c>
      <c r="E4" s="86">
        <f>241775637127+174157492155</f>
        <v>415933129282</v>
      </c>
      <c r="F4" s="87">
        <v>415933129282</v>
      </c>
      <c r="G4" s="87">
        <v>285524800749</v>
      </c>
      <c r="H4" s="88"/>
      <c r="I4" s="89"/>
      <c r="J4" s="90"/>
      <c r="K4" s="80" t="s">
        <v>67</v>
      </c>
    </row>
    <row r="5" spans="2:13" x14ac:dyDescent="0.35">
      <c r="B5" s="12"/>
      <c r="C5" s="72" t="s">
        <v>48</v>
      </c>
      <c r="D5" s="62"/>
      <c r="E5" s="11"/>
      <c r="F5" s="63"/>
      <c r="G5" s="63">
        <f>'[1]2019 - 2020'!$G$10</f>
        <v>83186625856</v>
      </c>
      <c r="H5" s="64">
        <f>'[1]2019 - 2020'!$D$9</f>
        <v>43980</v>
      </c>
      <c r="I5" s="65">
        <f>'[1]2019 - 2020'!$H$10</f>
        <v>44008</v>
      </c>
      <c r="J5" s="66">
        <f>I5-H5</f>
        <v>28</v>
      </c>
      <c r="K5" s="8"/>
    </row>
    <row r="6" spans="2:13" x14ac:dyDescent="0.35">
      <c r="B6" s="12"/>
      <c r="C6" s="8" t="s">
        <v>50</v>
      </c>
      <c r="D6" s="62"/>
      <c r="E6" s="10"/>
      <c r="F6" s="73"/>
      <c r="G6" s="74">
        <f>'[1]2019 - 2020'!$G$11+'[1]2019 - 2020'!$G$12</f>
        <v>111524384110</v>
      </c>
      <c r="H6" s="75">
        <f>'[1]2019 - 2020'!$D$11</f>
        <v>44012</v>
      </c>
      <c r="I6" s="75">
        <v>44098</v>
      </c>
      <c r="J6" s="66">
        <f t="shared" ref="J6:J13" si="0">I6-H6</f>
        <v>86</v>
      </c>
      <c r="K6" s="8"/>
    </row>
    <row r="7" spans="2:13" x14ac:dyDescent="0.35">
      <c r="B7" s="12"/>
      <c r="C7" s="8" t="s">
        <v>15</v>
      </c>
      <c r="D7" s="62"/>
      <c r="E7" s="10"/>
      <c r="F7" s="73"/>
      <c r="G7" s="73">
        <f>'[1]2019 - 2020'!$G$14+'[1]2019 - 2020'!$G$15</f>
        <v>23336691033</v>
      </c>
      <c r="H7" s="65">
        <f>'[1]2019 - 2020'!$D$14</f>
        <v>44071</v>
      </c>
      <c r="I7" s="65">
        <f>'[1]2019 - 2020'!$H$14</f>
        <v>44194</v>
      </c>
      <c r="J7" s="66">
        <f t="shared" si="0"/>
        <v>123</v>
      </c>
      <c r="K7" s="8" t="s">
        <v>59</v>
      </c>
    </row>
    <row r="8" spans="2:13" x14ac:dyDescent="0.35">
      <c r="B8" s="12"/>
      <c r="C8" s="8" t="s">
        <v>16</v>
      </c>
      <c r="D8" s="62"/>
      <c r="E8" s="10"/>
      <c r="F8" s="73"/>
      <c r="G8" s="73">
        <f>'[1]2019 - 2020'!$G$17+'[1]2019 - 2020'!$G$18</f>
        <v>18676993304</v>
      </c>
      <c r="H8" s="65">
        <f>'[1]2019 - 2020'!$D$17</f>
        <v>44102</v>
      </c>
      <c r="I8" s="65">
        <f>'[1]2019 - 2020'!$H$17</f>
        <v>44194</v>
      </c>
      <c r="J8" s="66">
        <f t="shared" si="0"/>
        <v>92</v>
      </c>
      <c r="K8" s="8"/>
    </row>
    <row r="9" spans="2:13" x14ac:dyDescent="0.35">
      <c r="B9" s="12"/>
      <c r="C9" s="8" t="s">
        <v>17</v>
      </c>
      <c r="D9" s="62"/>
      <c r="E9" s="10"/>
      <c r="F9" s="73"/>
      <c r="G9" s="73">
        <f>'[1]2019 - 2020'!$G$20+'[1]2019 - 2020'!$G$21</f>
        <v>17435615801</v>
      </c>
      <c r="H9" s="65">
        <f>'[1]2019 - 2020'!$D$20</f>
        <v>44149</v>
      </c>
      <c r="I9" s="65">
        <f>'[1]2019 - 2020'!$H$20</f>
        <v>44194</v>
      </c>
      <c r="J9" s="66">
        <f t="shared" si="0"/>
        <v>45</v>
      </c>
      <c r="K9" s="8"/>
    </row>
    <row r="10" spans="2:13" x14ac:dyDescent="0.35">
      <c r="B10" s="12"/>
      <c r="C10" s="8" t="s">
        <v>18</v>
      </c>
      <c r="D10" s="62"/>
      <c r="E10" s="10"/>
      <c r="F10" s="73"/>
      <c r="G10" s="73">
        <f>'[1]2019 - 2020'!$G$23+'[1]2019 - 2020'!$G$24</f>
        <v>5156796534</v>
      </c>
      <c r="H10" s="65">
        <f>'[1]2019 - 2020'!$D$23</f>
        <v>44173</v>
      </c>
      <c r="I10" s="65">
        <f>'[1]2019 - 2020'!$H$23</f>
        <v>44195</v>
      </c>
      <c r="J10" s="66">
        <f t="shared" si="0"/>
        <v>22</v>
      </c>
      <c r="K10" s="8"/>
    </row>
    <row r="11" spans="2:13" x14ac:dyDescent="0.35">
      <c r="B11" s="12"/>
      <c r="C11" s="8" t="s">
        <v>19</v>
      </c>
      <c r="D11" s="62"/>
      <c r="E11" s="10"/>
      <c r="F11" s="73"/>
      <c r="G11" s="73">
        <f>'[1]2019 - 2020'!$G$26+'[1]2019 - 2020'!$G$27</f>
        <v>5602998061</v>
      </c>
      <c r="H11" s="65">
        <f>'[1]2019 - 2020'!$D$26</f>
        <v>44175</v>
      </c>
      <c r="I11" s="65">
        <f>'[1]2019 - 2020'!$H$26</f>
        <v>44195</v>
      </c>
      <c r="J11" s="66">
        <f t="shared" si="0"/>
        <v>20</v>
      </c>
      <c r="K11" s="8"/>
    </row>
    <row r="12" spans="2:13" x14ac:dyDescent="0.35">
      <c r="B12" s="12"/>
      <c r="C12" s="8" t="s">
        <v>20</v>
      </c>
      <c r="D12" s="62"/>
      <c r="E12" s="10"/>
      <c r="F12" s="73"/>
      <c r="G12" s="73">
        <f>'[1]2019 - 2020'!$G$29+'[1]2019 - 2020'!$G$30</f>
        <v>11833377083</v>
      </c>
      <c r="H12" s="65">
        <f>'[1]2019 - 2020'!$D$29</f>
        <v>44182</v>
      </c>
      <c r="I12" s="65">
        <f>'[1]2019 - 2020'!$H$29</f>
        <v>44195</v>
      </c>
      <c r="J12" s="66">
        <f t="shared" si="0"/>
        <v>13</v>
      </c>
      <c r="K12" s="8"/>
    </row>
    <row r="13" spans="2:13" x14ac:dyDescent="0.35">
      <c r="B13" s="12"/>
      <c r="C13" s="8" t="s">
        <v>21</v>
      </c>
      <c r="D13" s="62"/>
      <c r="E13" s="10"/>
      <c r="F13" s="73"/>
      <c r="G13" s="73">
        <f>'[1]2019 - 2020'!$G$32</f>
        <v>12619897735</v>
      </c>
      <c r="H13" s="65">
        <f>'[1]2019 - 2020'!$D$32</f>
        <v>44182</v>
      </c>
      <c r="I13" s="65">
        <f>'[1]2019 - 2020'!$H$32</f>
        <v>44195</v>
      </c>
      <c r="J13" s="66">
        <f t="shared" si="0"/>
        <v>13</v>
      </c>
      <c r="K13" s="8"/>
    </row>
    <row r="14" spans="2:13" x14ac:dyDescent="0.35">
      <c r="B14" s="12"/>
      <c r="C14" s="8" t="s">
        <v>49</v>
      </c>
      <c r="D14" s="62"/>
      <c r="E14" s="10"/>
      <c r="F14" s="73"/>
      <c r="G14" s="73">
        <f>'[1]2019 - 2020'!$E$34</f>
        <v>-3848578768</v>
      </c>
      <c r="H14" s="65"/>
      <c r="I14" s="65"/>
      <c r="J14" s="66"/>
      <c r="K14" s="8" t="s">
        <v>52</v>
      </c>
    </row>
    <row r="15" spans="2:13" ht="58" x14ac:dyDescent="0.35">
      <c r="B15" s="83">
        <v>2021</v>
      </c>
      <c r="C15" s="84"/>
      <c r="D15" s="85">
        <v>44368</v>
      </c>
      <c r="E15" s="86">
        <f>112487557423+228812523458</f>
        <v>341300080881</v>
      </c>
      <c r="F15" s="87">
        <f>270000000000+70497677723</f>
        <v>340497677723</v>
      </c>
      <c r="G15" s="87">
        <f>'[1]2021'!$G$36</f>
        <v>321873654862</v>
      </c>
      <c r="H15" s="88"/>
      <c r="I15" s="89"/>
      <c r="J15" s="90"/>
      <c r="K15" s="81" t="s">
        <v>68</v>
      </c>
    </row>
    <row r="16" spans="2:13" x14ac:dyDescent="0.35">
      <c r="B16" s="12"/>
      <c r="C16" s="72" t="s">
        <v>48</v>
      </c>
      <c r="D16" s="62"/>
      <c r="E16" s="10"/>
      <c r="F16" s="73"/>
      <c r="G16" s="73">
        <f>'[1]2021'!$G$3</f>
        <v>54000000000</v>
      </c>
      <c r="H16" s="65">
        <f>'[1]2021'!$D$3</f>
        <v>44368</v>
      </c>
      <c r="I16" s="65">
        <f>'[1]2021'!$H$3</f>
        <v>44384</v>
      </c>
      <c r="J16" s="66">
        <f t="shared" ref="J16:J78" si="1">I16-H16</f>
        <v>16</v>
      </c>
      <c r="K16" s="10"/>
    </row>
    <row r="17" spans="2:11" x14ac:dyDescent="0.35">
      <c r="B17" s="12"/>
      <c r="C17" s="8" t="s">
        <v>50</v>
      </c>
      <c r="D17" s="62"/>
      <c r="E17" s="10"/>
      <c r="F17" s="73"/>
      <c r="G17" s="73">
        <f>'[1]2021'!$G$5+'[1]2021'!$G$6</f>
        <v>67153731965</v>
      </c>
      <c r="H17" s="65">
        <f>'[1]2021'!$D$5</f>
        <v>44439</v>
      </c>
      <c r="I17" s="65">
        <f>'[1]2021'!$H$5</f>
        <v>44455</v>
      </c>
      <c r="J17" s="66">
        <f t="shared" si="1"/>
        <v>16</v>
      </c>
      <c r="K17" s="10"/>
    </row>
    <row r="18" spans="2:11" x14ac:dyDescent="0.35">
      <c r="B18" s="12"/>
      <c r="C18" s="8" t="s">
        <v>15</v>
      </c>
      <c r="D18" s="62"/>
      <c r="E18" s="10"/>
      <c r="F18" s="73"/>
      <c r="G18" s="73">
        <f>'[1]2021'!$E$8+'[1]2021'!$E$9</f>
        <v>14717087647</v>
      </c>
      <c r="H18" s="65">
        <f>'[1]2021'!$D$8</f>
        <v>44462</v>
      </c>
      <c r="I18" s="65">
        <v>44537</v>
      </c>
      <c r="J18" s="66">
        <f t="shared" si="1"/>
        <v>75</v>
      </c>
      <c r="K18" s="10"/>
    </row>
    <row r="19" spans="2:11" x14ac:dyDescent="0.35">
      <c r="B19" s="12"/>
      <c r="C19" s="8" t="s">
        <v>16</v>
      </c>
      <c r="D19" s="62"/>
      <c r="E19" s="10"/>
      <c r="F19" s="73"/>
      <c r="G19" s="73">
        <f>'[1]2021'!$E$11+'[1]2021'!$E$12</f>
        <v>2539350532</v>
      </c>
      <c r="H19" s="65">
        <f>'[1]2021'!$D$11</f>
        <v>44462</v>
      </c>
      <c r="I19" s="65">
        <v>44537</v>
      </c>
      <c r="J19" s="66">
        <f t="shared" si="1"/>
        <v>75</v>
      </c>
      <c r="K19" s="8"/>
    </row>
    <row r="20" spans="2:11" x14ac:dyDescent="0.35">
      <c r="B20" s="12"/>
      <c r="C20" s="8" t="s">
        <v>17</v>
      </c>
      <c r="D20" s="62"/>
      <c r="E20" s="10"/>
      <c r="F20" s="73"/>
      <c r="G20" s="73">
        <f>'[1]2021'!$E$14+'[1]2021'!$E$15</f>
        <v>4204373515</v>
      </c>
      <c r="H20" s="65">
        <f>'[1]2021'!$D$14</f>
        <v>44487</v>
      </c>
      <c r="I20" s="65">
        <v>44537</v>
      </c>
      <c r="J20" s="66">
        <f t="shared" si="1"/>
        <v>50</v>
      </c>
      <c r="K20" s="8"/>
    </row>
    <row r="21" spans="2:11" x14ac:dyDescent="0.35">
      <c r="B21" s="12"/>
      <c r="C21" s="8" t="s">
        <v>18</v>
      </c>
      <c r="D21" s="62"/>
      <c r="E21" s="10"/>
      <c r="F21" s="73"/>
      <c r="G21" s="73">
        <f>'[1]2021'!$E$17+'[1]2021'!$E$18</f>
        <v>3183579093</v>
      </c>
      <c r="H21" s="65">
        <f>'[1]2021'!$D$17</f>
        <v>44519</v>
      </c>
      <c r="I21" s="65">
        <v>44558</v>
      </c>
      <c r="J21" s="66">
        <f t="shared" si="1"/>
        <v>39</v>
      </c>
      <c r="K21" s="8"/>
    </row>
    <row r="22" spans="2:11" x14ac:dyDescent="0.35">
      <c r="B22" s="12"/>
      <c r="C22" s="8" t="s">
        <v>19</v>
      </c>
      <c r="D22" s="62"/>
      <c r="E22" s="10"/>
      <c r="F22" s="73"/>
      <c r="G22" s="73">
        <f>'[1]2021'!$E$20+'[1]2021'!$E$21</f>
        <v>4137298890</v>
      </c>
      <c r="H22" s="65">
        <f>'[1]2021'!$D$20</f>
        <v>44544</v>
      </c>
      <c r="I22" s="65">
        <v>44558</v>
      </c>
      <c r="J22" s="66">
        <f t="shared" si="1"/>
        <v>14</v>
      </c>
      <c r="K22" s="8"/>
    </row>
    <row r="23" spans="2:11" x14ac:dyDescent="0.35">
      <c r="B23" s="12"/>
      <c r="C23" s="8" t="s">
        <v>20</v>
      </c>
      <c r="D23" s="62"/>
      <c r="E23" s="10"/>
      <c r="F23" s="73"/>
      <c r="G23" s="73">
        <f>'[1]2021'!$E$23+'[1]2021'!$E$24</f>
        <v>18120127962</v>
      </c>
      <c r="H23" s="65">
        <f>'[1]2021'!$D$23</f>
        <v>44547</v>
      </c>
      <c r="I23" s="65">
        <v>44558</v>
      </c>
      <c r="J23" s="66">
        <f t="shared" si="1"/>
        <v>11</v>
      </c>
      <c r="K23" s="8"/>
    </row>
    <row r="24" spans="2:11" x14ac:dyDescent="0.35">
      <c r="B24" s="12"/>
      <c r="C24" s="8" t="s">
        <v>21</v>
      </c>
      <c r="D24" s="62"/>
      <c r="E24" s="10"/>
      <c r="F24" s="73"/>
      <c r="G24" s="73">
        <f>'[1]2021'!$E$26</f>
        <v>67585701525</v>
      </c>
      <c r="H24" s="65">
        <f>'[1]2021'!$D$26</f>
        <v>44547</v>
      </c>
      <c r="I24" s="65">
        <v>44558</v>
      </c>
      <c r="J24" s="66">
        <f t="shared" si="1"/>
        <v>11</v>
      </c>
      <c r="K24" s="8"/>
    </row>
    <row r="25" spans="2:11" x14ac:dyDescent="0.35">
      <c r="B25" s="12"/>
      <c r="C25" s="8" t="s">
        <v>51</v>
      </c>
      <c r="D25" s="62"/>
      <c r="E25" s="10"/>
      <c r="F25" s="73"/>
      <c r="G25" s="73">
        <f>'[1]2021'!$F$30+'[1]2021'!$F$33</f>
        <v>86232403733</v>
      </c>
      <c r="H25" s="65">
        <f>'[1]2021'!$D$30</f>
        <v>44895</v>
      </c>
      <c r="I25" s="65">
        <f>'[1]2021'!$H$30</f>
        <v>44910</v>
      </c>
      <c r="J25" s="66">
        <f t="shared" si="1"/>
        <v>15</v>
      </c>
      <c r="K25" s="8" t="s">
        <v>53</v>
      </c>
    </row>
    <row r="26" spans="2:11" ht="29" x14ac:dyDescent="0.35">
      <c r="B26" s="83">
        <v>2022</v>
      </c>
      <c r="C26" s="84"/>
      <c r="D26" s="85">
        <v>44673</v>
      </c>
      <c r="E26" s="86">
        <f>180919133395+278202865470</f>
        <v>459121998865</v>
      </c>
      <c r="F26" s="87">
        <f>362172050000+46441290106</f>
        <v>408613340106</v>
      </c>
      <c r="G26" s="87">
        <v>400261726561</v>
      </c>
      <c r="H26" s="88"/>
      <c r="I26" s="89"/>
      <c r="J26" s="90"/>
      <c r="K26" s="81" t="s">
        <v>63</v>
      </c>
    </row>
    <row r="27" spans="2:11" x14ac:dyDescent="0.35">
      <c r="B27" s="12"/>
      <c r="C27" s="72" t="s">
        <v>48</v>
      </c>
      <c r="D27" s="62"/>
      <c r="E27" s="10"/>
      <c r="F27" s="73"/>
      <c r="G27" s="73">
        <f>'[1]2022'!$L$3</f>
        <v>72434410000</v>
      </c>
      <c r="H27" s="65">
        <f>'[1]2022'!$E$3</f>
        <v>44673</v>
      </c>
      <c r="I27" s="65">
        <f>'[1]2022'!$M$3</f>
        <v>44679</v>
      </c>
      <c r="J27" s="66">
        <f t="shared" si="1"/>
        <v>6</v>
      </c>
      <c r="K27" s="8"/>
    </row>
    <row r="28" spans="2:11" x14ac:dyDescent="0.35">
      <c r="B28" s="12"/>
      <c r="C28" s="8" t="s">
        <v>54</v>
      </c>
      <c r="D28" s="62"/>
      <c r="E28" s="10"/>
      <c r="F28" s="73"/>
      <c r="G28" s="73">
        <f>'[1]2022'!$K$5+'[1]2022'!$K$6</f>
        <v>93173556982</v>
      </c>
      <c r="H28" s="65">
        <f>'[1]2022'!$E$5</f>
        <v>44721</v>
      </c>
      <c r="I28" s="65">
        <v>44739</v>
      </c>
      <c r="J28" s="66">
        <f t="shared" si="1"/>
        <v>18</v>
      </c>
      <c r="K28" s="8"/>
    </row>
    <row r="29" spans="2:11" x14ac:dyDescent="0.35">
      <c r="B29" s="12"/>
      <c r="C29" s="8" t="s">
        <v>14</v>
      </c>
      <c r="D29" s="62"/>
      <c r="E29" s="10"/>
      <c r="F29" s="73"/>
      <c r="G29" s="73">
        <f>'[1]2022'!$L$8</f>
        <v>23329524874</v>
      </c>
      <c r="H29" s="65">
        <f>'[1]2022'!$E$8</f>
        <v>44747</v>
      </c>
      <c r="I29" s="65">
        <f>'[1]2022'!$M$8</f>
        <v>44770</v>
      </c>
      <c r="J29" s="66">
        <f t="shared" si="1"/>
        <v>23</v>
      </c>
      <c r="K29" s="8"/>
    </row>
    <row r="30" spans="2:11" x14ac:dyDescent="0.35">
      <c r="B30" s="12"/>
      <c r="C30" s="8" t="s">
        <v>15</v>
      </c>
      <c r="D30" s="62"/>
      <c r="E30" s="10"/>
      <c r="F30" s="73"/>
      <c r="G30" s="73">
        <f>'[1]2022'!$L$11</f>
        <v>22909938731</v>
      </c>
      <c r="H30" s="65">
        <f>'[1]2022'!$E$11</f>
        <v>44789</v>
      </c>
      <c r="I30" s="65">
        <f>'[1]2022'!$M$11</f>
        <v>44805</v>
      </c>
      <c r="J30" s="66">
        <f t="shared" si="1"/>
        <v>16</v>
      </c>
      <c r="K30" s="8"/>
    </row>
    <row r="31" spans="2:11" x14ac:dyDescent="0.35">
      <c r="B31" s="12"/>
      <c r="C31" s="8" t="s">
        <v>16</v>
      </c>
      <c r="D31" s="62"/>
      <c r="E31" s="10"/>
      <c r="F31" s="73"/>
      <c r="G31" s="73">
        <f>'[1]2022'!$L$14</f>
        <v>12459447111</v>
      </c>
      <c r="H31" s="65">
        <f>'[1]2022'!$E$14</f>
        <v>44833</v>
      </c>
      <c r="I31" s="65">
        <f>'[1]2022'!$M$14</f>
        <v>44846</v>
      </c>
      <c r="J31" s="66">
        <f t="shared" si="1"/>
        <v>13</v>
      </c>
      <c r="K31" s="8"/>
    </row>
    <row r="32" spans="2:11" x14ac:dyDescent="0.35">
      <c r="B32" s="12"/>
      <c r="C32" s="8" t="s">
        <v>17</v>
      </c>
      <c r="D32" s="62"/>
      <c r="E32" s="10"/>
      <c r="F32" s="73"/>
      <c r="G32" s="73">
        <f>'[1]2022'!$L$17</f>
        <v>21973072946</v>
      </c>
      <c r="H32" s="65">
        <f>'[1]2022'!$E$17</f>
        <v>44834</v>
      </c>
      <c r="I32" s="65">
        <f>'[1]2022'!$M$17</f>
        <v>44845</v>
      </c>
      <c r="J32" s="66">
        <f t="shared" si="1"/>
        <v>11</v>
      </c>
      <c r="K32" s="10"/>
    </row>
    <row r="33" spans="2:11" x14ac:dyDescent="0.35">
      <c r="B33" s="12"/>
      <c r="C33" s="8" t="s">
        <v>18</v>
      </c>
      <c r="D33" s="62"/>
      <c r="E33" s="10"/>
      <c r="F33" s="73"/>
      <c r="G33" s="73">
        <f>'[1]2022'!$L$20</f>
        <v>9363977483.5</v>
      </c>
      <c r="H33" s="65">
        <f>'[1]2022'!$E$20</f>
        <v>44869</v>
      </c>
      <c r="I33" s="65">
        <f>'[1]2022'!$M$20</f>
        <v>44887</v>
      </c>
      <c r="J33" s="66">
        <f t="shared" si="1"/>
        <v>18</v>
      </c>
      <c r="K33" s="8"/>
    </row>
    <row r="34" spans="2:11" x14ac:dyDescent="0.35">
      <c r="B34" s="12"/>
      <c r="C34" s="8" t="s">
        <v>19</v>
      </c>
      <c r="D34" s="62"/>
      <c r="E34" s="10"/>
      <c r="F34" s="73"/>
      <c r="G34" s="73">
        <f>'[1]2022'!$L$23</f>
        <v>13295132831.799999</v>
      </c>
      <c r="H34" s="65">
        <f>'[1]2022'!$E$23</f>
        <v>44897</v>
      </c>
      <c r="I34" s="65">
        <f>'[1]2022'!$M$23</f>
        <v>44909</v>
      </c>
      <c r="J34" s="66">
        <f t="shared" si="1"/>
        <v>12</v>
      </c>
      <c r="K34" s="15"/>
    </row>
    <row r="35" spans="2:11" x14ac:dyDescent="0.35">
      <c r="B35" s="12"/>
      <c r="C35" s="8" t="s">
        <v>20</v>
      </c>
      <c r="D35" s="62"/>
      <c r="E35" s="10"/>
      <c r="F35" s="73"/>
      <c r="G35" s="73">
        <f>'[1]2022'!$L$26</f>
        <v>53675678455.099998</v>
      </c>
      <c r="H35" s="65">
        <f>'[1]2022'!$E$26</f>
        <v>44911</v>
      </c>
      <c r="I35" s="65">
        <f>'[1]2022'!$M$26</f>
        <v>44923</v>
      </c>
      <c r="J35" s="66">
        <f t="shared" si="1"/>
        <v>12</v>
      </c>
      <c r="K35" s="8"/>
    </row>
    <row r="36" spans="2:11" x14ac:dyDescent="0.35">
      <c r="B36" s="12"/>
      <c r="C36" s="8" t="s">
        <v>21</v>
      </c>
      <c r="D36" s="62"/>
      <c r="E36" s="10"/>
      <c r="F36" s="73"/>
      <c r="G36" s="73">
        <f>'[1]2022'!$L$29</f>
        <v>29431960165</v>
      </c>
      <c r="H36" s="65">
        <f>'[1]2022'!$E$29</f>
        <v>44911</v>
      </c>
      <c r="I36" s="65">
        <f>'[1]2022'!$M$29</f>
        <v>44923</v>
      </c>
      <c r="J36" s="66">
        <f t="shared" si="1"/>
        <v>12</v>
      </c>
      <c r="K36" s="8"/>
    </row>
    <row r="37" spans="2:11" x14ac:dyDescent="0.35">
      <c r="B37" s="12"/>
      <c r="C37" s="8" t="s">
        <v>51</v>
      </c>
      <c r="D37" s="62"/>
      <c r="E37" s="10"/>
      <c r="F37" s="73"/>
      <c r="G37" s="73">
        <f>'[1]2022'!$L$32</f>
        <v>46441290106</v>
      </c>
      <c r="H37" s="65">
        <f>'[1]2022'!$E$32</f>
        <v>45266</v>
      </c>
      <c r="I37" s="65">
        <f>'[1]2022'!$M$32</f>
        <v>45278</v>
      </c>
      <c r="J37" s="66">
        <f t="shared" si="1"/>
        <v>12</v>
      </c>
      <c r="K37" s="8"/>
    </row>
    <row r="38" spans="2:11" x14ac:dyDescent="0.35">
      <c r="B38" s="12"/>
      <c r="C38" s="8" t="s">
        <v>55</v>
      </c>
      <c r="D38" s="62"/>
      <c r="E38" s="10"/>
      <c r="F38" s="73"/>
      <c r="G38" s="73">
        <f>'[1]2022'!$L$33</f>
        <v>1773736876</v>
      </c>
      <c r="H38" s="65">
        <f>'[1]2022'!$E$33</f>
        <v>45484</v>
      </c>
      <c r="I38" s="65">
        <f>'[1]2022'!$M$33</f>
        <v>45497</v>
      </c>
      <c r="J38" s="66">
        <f t="shared" si="1"/>
        <v>13</v>
      </c>
      <c r="K38" s="8"/>
    </row>
    <row r="39" spans="2:11" ht="29" x14ac:dyDescent="0.35">
      <c r="B39" s="83">
        <v>2023</v>
      </c>
      <c r="C39" s="84"/>
      <c r="D39" s="85">
        <v>45030</v>
      </c>
      <c r="E39" s="86">
        <v>506990038251</v>
      </c>
      <c r="F39" s="87">
        <f>350000000000+105884366450</f>
        <v>455884366450</v>
      </c>
      <c r="G39" s="87">
        <f>'[2]2023'!$S$48</f>
        <v>451917352427.40002</v>
      </c>
      <c r="H39" s="88"/>
      <c r="I39" s="89"/>
      <c r="J39" s="90"/>
      <c r="K39" s="81" t="s">
        <v>64</v>
      </c>
    </row>
    <row r="40" spans="2:11" x14ac:dyDescent="0.35">
      <c r="B40" s="12"/>
      <c r="C40" s="72" t="s">
        <v>48</v>
      </c>
      <c r="D40" s="62"/>
      <c r="E40" s="10"/>
      <c r="F40" s="73"/>
      <c r="G40" s="73">
        <f>'[2]2023'!$R$3</f>
        <v>70000000000</v>
      </c>
      <c r="H40" s="65">
        <f>'[2]2023'!$K$3</f>
        <v>45033</v>
      </c>
      <c r="I40" s="65">
        <f>'[2]2023'!$T$3</f>
        <v>45071</v>
      </c>
      <c r="J40" s="66">
        <f t="shared" si="1"/>
        <v>38</v>
      </c>
      <c r="K40" s="8"/>
    </row>
    <row r="41" spans="2:11" x14ac:dyDescent="0.35">
      <c r="B41" s="12"/>
      <c r="C41" s="8" t="s">
        <v>56</v>
      </c>
      <c r="D41" s="62"/>
      <c r="E41" s="10"/>
      <c r="F41" s="73"/>
      <c r="G41" s="73">
        <f>'[2]2023'!$Q$5</f>
        <v>27165209395</v>
      </c>
      <c r="H41" s="65">
        <v>45096</v>
      </c>
      <c r="I41" s="65">
        <v>45111</v>
      </c>
      <c r="J41" s="66">
        <f t="shared" si="1"/>
        <v>15</v>
      </c>
      <c r="K41" s="82"/>
    </row>
    <row r="42" spans="2:11" x14ac:dyDescent="0.35">
      <c r="B42" s="12"/>
      <c r="C42" s="8" t="s">
        <v>10</v>
      </c>
      <c r="D42" s="62"/>
      <c r="E42" s="10"/>
      <c r="F42" s="73"/>
      <c r="G42" s="73">
        <f>'[2]2023'!$Q$8</f>
        <v>17845108230</v>
      </c>
      <c r="H42" s="65">
        <v>45096</v>
      </c>
      <c r="I42" s="65">
        <v>45111</v>
      </c>
      <c r="J42" s="66">
        <f t="shared" si="1"/>
        <v>15</v>
      </c>
      <c r="K42" s="10"/>
    </row>
    <row r="43" spans="2:11" x14ac:dyDescent="0.35">
      <c r="B43" s="12"/>
      <c r="C43" s="8" t="s">
        <v>12</v>
      </c>
      <c r="D43" s="62"/>
      <c r="E43" s="10"/>
      <c r="F43" s="73"/>
      <c r="G43" s="73">
        <f>'[2]2023'!$Q$11</f>
        <v>22404169822</v>
      </c>
      <c r="H43" s="65">
        <v>45096</v>
      </c>
      <c r="I43" s="65">
        <v>45111</v>
      </c>
      <c r="J43" s="66">
        <f t="shared" si="1"/>
        <v>15</v>
      </c>
      <c r="K43" s="10"/>
    </row>
    <row r="44" spans="2:11" x14ac:dyDescent="0.35">
      <c r="B44" s="12"/>
      <c r="C44" s="8" t="s">
        <v>13</v>
      </c>
      <c r="D44" s="62"/>
      <c r="E44" s="10"/>
      <c r="F44" s="73"/>
      <c r="G44" s="73">
        <f>'[2]2023'!$Q$14</f>
        <v>18044882042</v>
      </c>
      <c r="H44" s="65">
        <v>45096</v>
      </c>
      <c r="I44" s="65">
        <v>45111</v>
      </c>
      <c r="J44" s="66">
        <f t="shared" si="1"/>
        <v>15</v>
      </c>
      <c r="K44" s="10"/>
    </row>
    <row r="45" spans="2:11" x14ac:dyDescent="0.35">
      <c r="B45" s="12"/>
      <c r="C45" s="8" t="s">
        <v>14</v>
      </c>
      <c r="D45" s="62"/>
      <c r="E45" s="10"/>
      <c r="F45" s="73"/>
      <c r="G45" s="73">
        <f>'[2]2023'!$Q$17</f>
        <v>20336257749</v>
      </c>
      <c r="H45" s="65">
        <f>'[2]2023'!$K$17</f>
        <v>45127</v>
      </c>
      <c r="I45" s="65">
        <f>'[2]2023'!$T$17</f>
        <v>45141</v>
      </c>
      <c r="J45" s="66">
        <f t="shared" si="1"/>
        <v>14</v>
      </c>
      <c r="K45" s="8"/>
    </row>
    <row r="46" spans="2:11" x14ac:dyDescent="0.35">
      <c r="B46" s="12"/>
      <c r="C46" s="8" t="s">
        <v>15</v>
      </c>
      <c r="D46" s="62"/>
      <c r="E46" s="10"/>
      <c r="F46" s="73"/>
      <c r="G46" s="73">
        <f>'[2]2023'!$Q$20</f>
        <v>19612469871</v>
      </c>
      <c r="H46" s="65">
        <f>'[2]2023'!$K$20</f>
        <v>45161</v>
      </c>
      <c r="I46" s="65">
        <f>'[2]2023'!$T$20</f>
        <v>45174</v>
      </c>
      <c r="J46" s="66">
        <f t="shared" si="1"/>
        <v>13</v>
      </c>
      <c r="K46" s="8"/>
    </row>
    <row r="47" spans="2:11" x14ac:dyDescent="0.35">
      <c r="B47" s="12"/>
      <c r="C47" s="8" t="s">
        <v>16</v>
      </c>
      <c r="D47" s="62"/>
      <c r="E47" s="10"/>
      <c r="F47" s="73"/>
      <c r="G47" s="73">
        <f>'[2]2023'!$Q$23</f>
        <v>27030236908</v>
      </c>
      <c r="H47" s="65">
        <f>'[2]2023'!$K$23</f>
        <v>45187</v>
      </c>
      <c r="I47" s="65">
        <f>'[2]2023'!$T$23</f>
        <v>45196</v>
      </c>
      <c r="J47" s="66">
        <f t="shared" si="1"/>
        <v>9</v>
      </c>
      <c r="K47" s="8"/>
    </row>
    <row r="48" spans="2:11" x14ac:dyDescent="0.35">
      <c r="B48" s="12"/>
      <c r="C48" s="8" t="s">
        <v>17</v>
      </c>
      <c r="D48" s="62"/>
      <c r="E48" s="10"/>
      <c r="F48" s="73"/>
      <c r="G48" s="73">
        <f>'[2]2023'!$Q$26</f>
        <v>16848710264</v>
      </c>
      <c r="H48" s="65">
        <f>'[2]2023'!$K$26</f>
        <v>45208</v>
      </c>
      <c r="I48" s="65">
        <f>'[2]2023'!$T$26</f>
        <v>45215</v>
      </c>
      <c r="J48" s="66">
        <f t="shared" si="1"/>
        <v>7</v>
      </c>
      <c r="K48" s="8"/>
    </row>
    <row r="49" spans="2:11" x14ac:dyDescent="0.35">
      <c r="B49" s="12"/>
      <c r="C49" s="8" t="s">
        <v>18</v>
      </c>
      <c r="D49" s="62"/>
      <c r="E49" s="10"/>
      <c r="F49" s="73"/>
      <c r="G49" s="73">
        <f>'[2]2023'!$Q$29</f>
        <v>7486485564</v>
      </c>
      <c r="H49" s="65">
        <f>'[2]2023'!$K$29</f>
        <v>45237</v>
      </c>
      <c r="I49" s="65">
        <f>'[2]2023'!$T$29</f>
        <v>45247</v>
      </c>
      <c r="J49" s="66">
        <f t="shared" si="1"/>
        <v>10</v>
      </c>
      <c r="K49" s="8"/>
    </row>
    <row r="50" spans="2:11" x14ac:dyDescent="0.35">
      <c r="B50" s="12"/>
      <c r="C50" s="8" t="s">
        <v>19</v>
      </c>
      <c r="D50" s="62"/>
      <c r="E50" s="10"/>
      <c r="F50" s="73"/>
      <c r="G50" s="73">
        <f>'[2]2023'!$Q$32</f>
        <v>13999127118</v>
      </c>
      <c r="H50" s="65">
        <f>'[2]2023'!$K$32</f>
        <v>45266</v>
      </c>
      <c r="I50" s="65">
        <f>'[2]2023'!$T$32</f>
        <v>45273</v>
      </c>
      <c r="J50" s="66">
        <f t="shared" si="1"/>
        <v>7</v>
      </c>
      <c r="K50" s="8"/>
    </row>
    <row r="51" spans="2:11" x14ac:dyDescent="0.35">
      <c r="B51" s="12"/>
      <c r="C51" s="8" t="s">
        <v>20</v>
      </c>
      <c r="D51" s="62"/>
      <c r="E51" s="10"/>
      <c r="F51" s="73"/>
      <c r="G51" s="73">
        <f>'[2]2023'!$Q$35</f>
        <v>58105933090</v>
      </c>
      <c r="H51" s="65">
        <f>'[2]2023'!$K$35</f>
        <v>45275</v>
      </c>
      <c r="I51" s="65">
        <f>'[2]2023'!$T$35</f>
        <v>45282</v>
      </c>
      <c r="J51" s="66">
        <f t="shared" si="1"/>
        <v>7</v>
      </c>
      <c r="K51" s="8"/>
    </row>
    <row r="52" spans="2:11" x14ac:dyDescent="0.35">
      <c r="B52" s="12"/>
      <c r="C52" s="8" t="s">
        <v>21</v>
      </c>
      <c r="D52" s="62"/>
      <c r="E52" s="10"/>
      <c r="F52" s="73"/>
      <c r="G52" s="73">
        <f>'[2]2023'!$Q$38</f>
        <v>27154395923.400002</v>
      </c>
      <c r="H52" s="65">
        <f>'[2]2023'!$K$38</f>
        <v>45275</v>
      </c>
      <c r="I52" s="65">
        <f>'[2]2023'!$T$38</f>
        <v>45282</v>
      </c>
      <c r="J52" s="66">
        <f t="shared" si="1"/>
        <v>7</v>
      </c>
      <c r="K52" s="8"/>
    </row>
    <row r="53" spans="2:11" x14ac:dyDescent="0.35">
      <c r="B53" s="12"/>
      <c r="C53" s="8" t="s">
        <v>51</v>
      </c>
      <c r="D53" s="62"/>
      <c r="E53" s="10"/>
      <c r="F53" s="73"/>
      <c r="G53" s="73">
        <f>'[2]2023'!$Q$42</f>
        <v>105884366450</v>
      </c>
      <c r="H53" s="65">
        <f>'[2]2023'!$K$42</f>
        <v>45621</v>
      </c>
      <c r="I53" s="65">
        <f>'[2]2023'!$T$42</f>
        <v>45637</v>
      </c>
      <c r="J53" s="66">
        <f t="shared" si="1"/>
        <v>16</v>
      </c>
      <c r="K53" s="8"/>
    </row>
    <row r="54" spans="2:11" ht="29" x14ac:dyDescent="0.35">
      <c r="B54" s="83">
        <v>2024</v>
      </c>
      <c r="C54" s="84"/>
      <c r="D54" s="85">
        <v>45397</v>
      </c>
      <c r="E54" s="86">
        <v>505036271211</v>
      </c>
      <c r="F54" s="87">
        <v>458133380226</v>
      </c>
      <c r="G54" s="87">
        <v>441272643260</v>
      </c>
      <c r="H54" s="88"/>
      <c r="I54" s="89"/>
      <c r="J54" s="90"/>
      <c r="K54" s="81" t="s">
        <v>65</v>
      </c>
    </row>
    <row r="55" spans="2:11" x14ac:dyDescent="0.35">
      <c r="B55" s="12"/>
      <c r="C55" s="72" t="s">
        <v>48</v>
      </c>
      <c r="D55" s="62"/>
      <c r="E55" s="10"/>
      <c r="F55" s="73"/>
      <c r="G55" s="73">
        <f>'[3]2024'!$Q$3</f>
        <v>59278214365</v>
      </c>
      <c r="H55" s="65">
        <v>45405</v>
      </c>
      <c r="I55" s="65">
        <v>45419</v>
      </c>
      <c r="J55" s="66">
        <f t="shared" si="1"/>
        <v>14</v>
      </c>
      <c r="K55" s="8"/>
    </row>
    <row r="56" spans="2:11" x14ac:dyDescent="0.35">
      <c r="B56" s="12"/>
      <c r="C56" s="8" t="s">
        <v>56</v>
      </c>
      <c r="D56" s="62"/>
      <c r="E56" s="10"/>
      <c r="F56" s="73"/>
      <c r="G56" s="73">
        <f>'[3]2024'!$Q$5</f>
        <v>16351150727</v>
      </c>
      <c r="H56" s="65">
        <f>'[3]2024'!$K$5</f>
        <v>45464</v>
      </c>
      <c r="I56" s="65">
        <v>45483</v>
      </c>
      <c r="J56" s="66">
        <f t="shared" si="1"/>
        <v>19</v>
      </c>
      <c r="K56" s="8"/>
    </row>
    <row r="57" spans="2:11" x14ac:dyDescent="0.35">
      <c r="B57" s="12"/>
      <c r="C57" s="8" t="s">
        <v>10</v>
      </c>
      <c r="D57" s="62"/>
      <c r="E57" s="10"/>
      <c r="F57" s="73"/>
      <c r="G57" s="73">
        <f>'[3]2024'!$Q$8</f>
        <v>20574093500</v>
      </c>
      <c r="H57" s="65">
        <f>'[3]2024'!$K$8</f>
        <v>45464</v>
      </c>
      <c r="I57" s="65">
        <v>45483</v>
      </c>
      <c r="J57" s="66">
        <f t="shared" si="1"/>
        <v>19</v>
      </c>
      <c r="K57" s="8"/>
    </row>
    <row r="58" spans="2:11" x14ac:dyDescent="0.35">
      <c r="B58" s="12"/>
      <c r="C58" s="8" t="s">
        <v>12</v>
      </c>
      <c r="D58" s="62"/>
      <c r="E58" s="10"/>
      <c r="F58" s="73"/>
      <c r="G58" s="73">
        <f>'[3]2024'!$Q$11</f>
        <v>21976574616</v>
      </c>
      <c r="H58" s="65">
        <f>'[3]2024'!$K$11</f>
        <v>45464</v>
      </c>
      <c r="I58" s="65">
        <v>45483</v>
      </c>
      <c r="J58" s="66">
        <f t="shared" si="1"/>
        <v>19</v>
      </c>
      <c r="K58" s="8"/>
    </row>
    <row r="59" spans="2:11" x14ac:dyDescent="0.35">
      <c r="B59" s="12"/>
      <c r="C59" s="8" t="s">
        <v>13</v>
      </c>
      <c r="D59" s="62"/>
      <c r="E59" s="10"/>
      <c r="F59" s="73"/>
      <c r="G59" s="73">
        <f>'[3]2024'!$Q$14</f>
        <v>17462631844</v>
      </c>
      <c r="H59" s="65">
        <f>'[3]2024'!$K$14</f>
        <v>45464</v>
      </c>
      <c r="I59" s="65">
        <v>45483</v>
      </c>
      <c r="J59" s="66">
        <f t="shared" si="1"/>
        <v>19</v>
      </c>
      <c r="K59" s="8"/>
    </row>
    <row r="60" spans="2:11" x14ac:dyDescent="0.35">
      <c r="B60" s="12"/>
      <c r="C60" s="8" t="s">
        <v>14</v>
      </c>
      <c r="D60" s="62"/>
      <c r="E60" s="10"/>
      <c r="F60" s="73"/>
      <c r="G60" s="73">
        <f>'[3]2024'!$Q$17</f>
        <v>17493641157</v>
      </c>
      <c r="H60" s="65">
        <f>'[3]2024'!$K$17</f>
        <v>45491</v>
      </c>
      <c r="I60" s="65">
        <v>45505</v>
      </c>
      <c r="J60" s="66">
        <f t="shared" si="1"/>
        <v>14</v>
      </c>
      <c r="K60" s="8"/>
    </row>
    <row r="61" spans="2:11" x14ac:dyDescent="0.35">
      <c r="B61" s="12"/>
      <c r="C61" s="8" t="s">
        <v>15</v>
      </c>
      <c r="D61" s="62"/>
      <c r="E61" s="10"/>
      <c r="F61" s="73"/>
      <c r="G61" s="73">
        <f>'[3]2024'!$Q$20</f>
        <v>22917834138</v>
      </c>
      <c r="H61" s="65">
        <f>'[3]2024'!$K$20</f>
        <v>45512</v>
      </c>
      <c r="I61" s="65">
        <f>'[3]2024'!$T$20</f>
        <v>45533</v>
      </c>
      <c r="J61" s="66">
        <f t="shared" si="1"/>
        <v>21</v>
      </c>
      <c r="K61" s="8"/>
    </row>
    <row r="62" spans="2:11" x14ac:dyDescent="0.35">
      <c r="B62" s="12"/>
      <c r="C62" s="8" t="s">
        <v>16</v>
      </c>
      <c r="D62" s="62"/>
      <c r="E62" s="10"/>
      <c r="F62" s="73"/>
      <c r="G62" s="73">
        <f>'[3]2024'!$Q$23</f>
        <v>23496283994</v>
      </c>
      <c r="H62" s="65">
        <f>'[3]2024'!$K$23</f>
        <v>45545</v>
      </c>
      <c r="I62" s="65">
        <f>'[3]2024'!$T$23</f>
        <v>45562</v>
      </c>
      <c r="J62" s="66">
        <f t="shared" si="1"/>
        <v>17</v>
      </c>
      <c r="K62" s="8"/>
    </row>
    <row r="63" spans="2:11" x14ac:dyDescent="0.35">
      <c r="B63" s="12"/>
      <c r="C63" s="8" t="s">
        <v>17</v>
      </c>
      <c r="D63" s="62"/>
      <c r="E63" s="10"/>
      <c r="F63" s="73"/>
      <c r="G63" s="73">
        <f>'[3]2024'!$Q$26</f>
        <v>13240790285</v>
      </c>
      <c r="H63" s="65">
        <f>'[3]2024'!$K$26</f>
        <v>45581</v>
      </c>
      <c r="I63" s="65">
        <f>'[3]2024'!$T$26</f>
        <v>45610</v>
      </c>
      <c r="J63" s="66">
        <f t="shared" si="1"/>
        <v>29</v>
      </c>
      <c r="K63" s="8"/>
    </row>
    <row r="64" spans="2:11" x14ac:dyDescent="0.35">
      <c r="B64" s="12"/>
      <c r="C64" s="8" t="s">
        <v>18</v>
      </c>
      <c r="D64" s="62"/>
      <c r="E64" s="10"/>
      <c r="F64" s="73"/>
      <c r="G64" s="73">
        <f>'[3]2024'!$Q$29</f>
        <v>8913185910</v>
      </c>
      <c r="H64" s="65">
        <f>'[3]2024'!$K$29</f>
        <v>45614</v>
      </c>
      <c r="I64" s="65">
        <f>'[3]2024'!$T$29</f>
        <v>45627</v>
      </c>
      <c r="J64" s="66">
        <f t="shared" si="1"/>
        <v>13</v>
      </c>
      <c r="K64" s="8"/>
    </row>
    <row r="65" spans="2:11" x14ac:dyDescent="0.35">
      <c r="B65" s="12"/>
      <c r="C65" s="8" t="s">
        <v>19</v>
      </c>
      <c r="D65" s="62"/>
      <c r="E65" s="10"/>
      <c r="F65" s="73"/>
      <c r="G65" s="73">
        <f>'[3]2024'!$Q$32</f>
        <v>6010220880</v>
      </c>
      <c r="H65" s="65">
        <f>'[3]2024'!$K$32</f>
        <v>45630</v>
      </c>
      <c r="I65" s="65">
        <f>'[3]2024'!$T$32</f>
        <v>45637</v>
      </c>
      <c r="J65" s="66">
        <f t="shared" si="1"/>
        <v>7</v>
      </c>
      <c r="K65" s="8"/>
    </row>
    <row r="66" spans="2:11" x14ac:dyDescent="0.35">
      <c r="B66" s="12"/>
      <c r="C66" s="8" t="s">
        <v>20</v>
      </c>
      <c r="D66" s="62"/>
      <c r="E66" s="10"/>
      <c r="F66" s="73"/>
      <c r="G66" s="73">
        <f>'[3]2024'!$Q$35</f>
        <v>164833332969</v>
      </c>
      <c r="H66" s="65">
        <f>'[3]2024'!$K$35</f>
        <v>45639</v>
      </c>
      <c r="I66" s="65">
        <f>'[3]2024'!$T$35</f>
        <v>45646</v>
      </c>
      <c r="J66" s="66">
        <f t="shared" si="1"/>
        <v>7</v>
      </c>
      <c r="K66" s="8"/>
    </row>
    <row r="67" spans="2:11" x14ac:dyDescent="0.35">
      <c r="B67" s="12"/>
      <c r="C67" s="8" t="s">
        <v>21</v>
      </c>
      <c r="D67" s="62"/>
      <c r="E67" s="10"/>
      <c r="F67" s="73"/>
      <c r="G67" s="73">
        <f>'[3]2024'!$Q$38</f>
        <v>46604170448.099998</v>
      </c>
      <c r="H67" s="65">
        <f>'[3]2024'!$K$38</f>
        <v>45639</v>
      </c>
      <c r="I67" s="65">
        <f>'[3]2024'!$T$38</f>
        <v>45646</v>
      </c>
      <c r="J67" s="66">
        <f t="shared" si="1"/>
        <v>7</v>
      </c>
      <c r="K67" s="8"/>
    </row>
    <row r="68" spans="2:11" x14ac:dyDescent="0.35">
      <c r="B68" s="12"/>
      <c r="C68" s="8" t="s">
        <v>51</v>
      </c>
      <c r="D68" s="62"/>
      <c r="E68" s="10"/>
      <c r="F68" s="73"/>
      <c r="G68" s="73">
        <f>'[3]2024'!$Q$41</f>
        <v>2120518427</v>
      </c>
      <c r="H68" s="65">
        <f>'[3]2024'!$K$41</f>
        <v>45979</v>
      </c>
      <c r="I68" s="65">
        <f>'[3]2024'!$T$41</f>
        <v>46001</v>
      </c>
      <c r="J68" s="66">
        <f t="shared" si="1"/>
        <v>22</v>
      </c>
      <c r="K68" s="8"/>
    </row>
    <row r="69" spans="2:11" ht="29" x14ac:dyDescent="0.35">
      <c r="B69" s="83">
        <v>2025</v>
      </c>
      <c r="C69" s="84"/>
      <c r="D69" s="85">
        <v>45813</v>
      </c>
      <c r="E69" s="86">
        <v>513025754522</v>
      </c>
      <c r="F69" s="87">
        <v>495451709641</v>
      </c>
      <c r="G69" s="87">
        <f>'[4]2025'!$U$48</f>
        <v>466084851517.48444</v>
      </c>
      <c r="H69" s="88"/>
      <c r="I69" s="89"/>
      <c r="J69" s="90"/>
      <c r="K69" s="81" t="s">
        <v>66</v>
      </c>
    </row>
    <row r="70" spans="2:11" x14ac:dyDescent="0.35">
      <c r="B70" s="12"/>
      <c r="C70" s="72" t="s">
        <v>48</v>
      </c>
      <c r="D70" s="62"/>
      <c r="E70" s="10"/>
      <c r="F70" s="73"/>
      <c r="G70" s="73">
        <f>'[4]2025'!$U$4</f>
        <v>59663654364</v>
      </c>
      <c r="H70" s="65">
        <f>'[4]2025'!$K$4</f>
        <v>45819</v>
      </c>
      <c r="I70" s="65">
        <f>'[4]2025'!$V$4</f>
        <v>45853</v>
      </c>
      <c r="J70" s="66">
        <f t="shared" si="1"/>
        <v>34</v>
      </c>
      <c r="K70" s="8"/>
    </row>
    <row r="71" spans="2:11" x14ac:dyDescent="0.35">
      <c r="B71" s="12"/>
      <c r="C71" s="8" t="s">
        <v>56</v>
      </c>
      <c r="D71" s="62"/>
      <c r="E71" s="10"/>
      <c r="F71" s="73"/>
      <c r="G71" s="73">
        <f>'[4]2025'!$S$6</f>
        <v>17325807312</v>
      </c>
      <c r="H71" s="65">
        <f>'[4]2025'!$K$6</f>
        <v>45859</v>
      </c>
      <c r="I71" s="65">
        <f>'[4]2025'!$V$15</f>
        <v>45867</v>
      </c>
      <c r="J71" s="66">
        <f t="shared" si="1"/>
        <v>8</v>
      </c>
      <c r="K71" s="8"/>
    </row>
    <row r="72" spans="2:11" x14ac:dyDescent="0.35">
      <c r="B72" s="12"/>
      <c r="C72" s="8" t="s">
        <v>10</v>
      </c>
      <c r="D72" s="62"/>
      <c r="E72" s="10"/>
      <c r="F72" s="73"/>
      <c r="G72" s="73">
        <f>'[4]2025'!$S$9</f>
        <v>16384390235</v>
      </c>
      <c r="H72" s="65">
        <f>'[4]2025'!$K$9</f>
        <v>45859</v>
      </c>
      <c r="I72" s="65">
        <f>I71</f>
        <v>45867</v>
      </c>
      <c r="J72" s="66">
        <f t="shared" si="1"/>
        <v>8</v>
      </c>
      <c r="K72" s="8"/>
    </row>
    <row r="73" spans="2:11" x14ac:dyDescent="0.35">
      <c r="B73" s="12"/>
      <c r="C73" s="8" t="s">
        <v>12</v>
      </c>
      <c r="D73" s="62"/>
      <c r="E73" s="10"/>
      <c r="F73" s="73"/>
      <c r="G73" s="73">
        <f>'[4]2025'!$S$12</f>
        <v>21142902033</v>
      </c>
      <c r="H73" s="65">
        <f>'[4]2025'!$K$12</f>
        <v>45859</v>
      </c>
      <c r="I73" s="65">
        <f>I72</f>
        <v>45867</v>
      </c>
      <c r="J73" s="66">
        <f t="shared" si="1"/>
        <v>8</v>
      </c>
      <c r="K73" s="8"/>
    </row>
    <row r="74" spans="2:11" x14ac:dyDescent="0.35">
      <c r="B74" s="12"/>
      <c r="C74" s="8" t="s">
        <v>13</v>
      </c>
      <c r="D74" s="62"/>
      <c r="E74" s="10"/>
      <c r="F74" s="73"/>
      <c r="G74" s="73">
        <f>'[4]2025'!$S$15</f>
        <v>19815762294</v>
      </c>
      <c r="H74" s="65">
        <f>'[4]2025'!$K$15</f>
        <v>45859</v>
      </c>
      <c r="I74" s="65">
        <f>I73</f>
        <v>45867</v>
      </c>
      <c r="J74" s="66">
        <f t="shared" si="1"/>
        <v>8</v>
      </c>
      <c r="K74" s="8"/>
    </row>
    <row r="75" spans="2:11" x14ac:dyDescent="0.35">
      <c r="B75" s="12"/>
      <c r="C75" s="8" t="s">
        <v>14</v>
      </c>
      <c r="D75" s="62"/>
      <c r="E75" s="10"/>
      <c r="F75" s="73"/>
      <c r="G75" s="73">
        <f>'[4]2025'!$S$18</f>
        <v>17460869470</v>
      </c>
      <c r="H75" s="65">
        <f>'[4]2025'!$K$18</f>
        <v>45880</v>
      </c>
      <c r="I75" s="65">
        <f>'[4]2025'!$V$18</f>
        <v>45909</v>
      </c>
      <c r="J75" s="66">
        <f t="shared" si="1"/>
        <v>29</v>
      </c>
      <c r="K75" s="8"/>
    </row>
    <row r="76" spans="2:11" x14ac:dyDescent="0.35">
      <c r="B76" s="12"/>
      <c r="C76" s="8" t="s">
        <v>15</v>
      </c>
      <c r="D76" s="62"/>
      <c r="E76" s="10"/>
      <c r="F76" s="73"/>
      <c r="G76" s="73">
        <f>'[4]2025'!$S$21</f>
        <v>22814647872</v>
      </c>
      <c r="H76" s="65">
        <f>'[4]2025'!$K$21</f>
        <v>45880</v>
      </c>
      <c r="I76" s="65">
        <f>'[4]2025'!$V$21</f>
        <v>45909</v>
      </c>
      <c r="J76" s="66">
        <f t="shared" si="1"/>
        <v>29</v>
      </c>
      <c r="K76" s="8"/>
    </row>
    <row r="77" spans="2:11" x14ac:dyDescent="0.35">
      <c r="B77" s="12"/>
      <c r="C77" s="8" t="s">
        <v>16</v>
      </c>
      <c r="D77" s="62"/>
      <c r="E77" s="10"/>
      <c r="F77" s="73"/>
      <c r="G77" s="73">
        <f>'[4]2025'!$S$24</f>
        <v>21012141132.599998</v>
      </c>
      <c r="H77" s="65">
        <f>'[4]2025'!$K$24</f>
        <v>45915</v>
      </c>
      <c r="I77" s="65">
        <f>'[4]2025'!$V$24</f>
        <v>45938</v>
      </c>
      <c r="J77" s="66">
        <f t="shared" si="1"/>
        <v>23</v>
      </c>
      <c r="K77" s="8"/>
    </row>
    <row r="78" spans="2:11" x14ac:dyDescent="0.35">
      <c r="B78" s="12"/>
      <c r="C78" s="8" t="s">
        <v>17</v>
      </c>
      <c r="D78" s="62"/>
      <c r="E78" s="10"/>
      <c r="F78" s="73"/>
      <c r="G78" s="73">
        <f>'[4]2025'!$S$27</f>
        <v>17141984714</v>
      </c>
      <c r="H78" s="65">
        <f>'[4]2025'!$K$27</f>
        <v>45945</v>
      </c>
      <c r="I78" s="65">
        <f>'[4]2025'!$V$27</f>
        <v>45966</v>
      </c>
      <c r="J78" s="66">
        <f t="shared" si="1"/>
        <v>21</v>
      </c>
      <c r="K78" s="8"/>
    </row>
    <row r="79" spans="2:11" x14ac:dyDescent="0.35">
      <c r="B79" s="12"/>
      <c r="C79" s="8" t="s">
        <v>18</v>
      </c>
      <c r="D79" s="62"/>
      <c r="E79" s="10"/>
      <c r="F79" s="73"/>
      <c r="G79" s="73">
        <f>'[4]2025'!$S$30</f>
        <v>11400419811</v>
      </c>
      <c r="H79" s="65">
        <f>'[4]2025'!$K$30</f>
        <v>45979</v>
      </c>
      <c r="I79" s="65">
        <f>'[4]2025'!$V$30</f>
        <v>45989</v>
      </c>
      <c r="J79" s="66">
        <f t="shared" ref="J79:J83" si="2">I79-H79</f>
        <v>10</v>
      </c>
      <c r="K79" s="8"/>
    </row>
    <row r="80" spans="2:11" x14ac:dyDescent="0.35">
      <c r="B80" s="12"/>
      <c r="C80" s="8" t="s">
        <v>19</v>
      </c>
      <c r="D80" s="62"/>
      <c r="E80" s="10"/>
      <c r="F80" s="73"/>
      <c r="G80" s="73">
        <f>'[4]2025'!$S$33</f>
        <v>169860720449</v>
      </c>
      <c r="H80" s="65">
        <f>'[4]2025'!$K$33</f>
        <v>45999</v>
      </c>
      <c r="I80" s="65">
        <f>'[4]2025'!$V$33</f>
        <v>46010</v>
      </c>
      <c r="J80" s="66">
        <f t="shared" si="2"/>
        <v>11</v>
      </c>
      <c r="K80" s="8"/>
    </row>
    <row r="81" spans="2:11" x14ac:dyDescent="0.35">
      <c r="B81" s="12"/>
      <c r="C81" s="8" t="s">
        <v>20</v>
      </c>
      <c r="D81" s="62"/>
      <c r="E81" s="10"/>
      <c r="F81" s="73"/>
      <c r="G81" s="73">
        <f>'[4]2025'!$S$36</f>
        <v>26783726465</v>
      </c>
      <c r="H81" s="65">
        <f>'[4]2025'!$K$36</f>
        <v>46003</v>
      </c>
      <c r="I81" s="65">
        <f>'[4]2025'!$V$36</f>
        <v>46015</v>
      </c>
      <c r="J81" s="66">
        <f t="shared" si="2"/>
        <v>12</v>
      </c>
      <c r="K81" s="8"/>
    </row>
    <row r="82" spans="2:11" x14ac:dyDescent="0.35">
      <c r="B82" s="12"/>
      <c r="C82" s="8" t="s">
        <v>21</v>
      </c>
      <c r="D82" s="62"/>
      <c r="E82" s="10"/>
      <c r="F82" s="73"/>
      <c r="G82" s="73">
        <f>'[4]2025'!$S$39</f>
        <v>52568969099.714645</v>
      </c>
      <c r="H82" s="65">
        <f>'[4]2025'!$K$39</f>
        <v>46003</v>
      </c>
      <c r="I82" s="65">
        <f>'[4]2025'!$V$39</f>
        <v>46015</v>
      </c>
      <c r="J82" s="66">
        <f t="shared" si="2"/>
        <v>12</v>
      </c>
      <c r="K82" s="8"/>
    </row>
    <row r="83" spans="2:11" x14ac:dyDescent="0.35">
      <c r="B83" s="12"/>
      <c r="C83" s="8" t="s">
        <v>49</v>
      </c>
      <c r="D83" s="62"/>
      <c r="E83" s="10"/>
      <c r="F83" s="73"/>
      <c r="G83" s="73">
        <f>'[4]2025'!$S$44</f>
        <v>-7291143734.8301926</v>
      </c>
      <c r="H83" s="65">
        <f>'[4]2025'!$K$44</f>
        <v>46177</v>
      </c>
      <c r="I83" s="65">
        <f>'[4]2025'!$V$44</f>
        <v>46192</v>
      </c>
      <c r="J83" s="66">
        <f t="shared" si="2"/>
        <v>15</v>
      </c>
      <c r="K83" s="8"/>
    </row>
    <row r="84" spans="2:11" x14ac:dyDescent="0.35">
      <c r="B84" s="67">
        <v>2026</v>
      </c>
      <c r="C84" s="68"/>
      <c r="D84" s="69">
        <v>46140</v>
      </c>
      <c r="E84" s="76">
        <v>544271785466</v>
      </c>
      <c r="F84" s="77">
        <v>325287772942</v>
      </c>
      <c r="G84" s="77"/>
      <c r="H84" s="70"/>
      <c r="I84" s="70"/>
      <c r="J84" s="71"/>
      <c r="K84" s="68"/>
    </row>
    <row r="85" spans="2:11" x14ac:dyDescent="0.35">
      <c r="B85" s="12"/>
      <c r="C85" s="72" t="s">
        <v>48</v>
      </c>
      <c r="D85" s="62"/>
      <c r="E85" s="10"/>
      <c r="F85" s="73"/>
      <c r="G85" s="73">
        <f>'[5]2026'!$P$3</f>
        <v>65057554588.264923</v>
      </c>
      <c r="H85" s="65">
        <f>'[5]2026'!$K$3</f>
        <v>46160</v>
      </c>
      <c r="I85" s="65">
        <f>'[5]2026'!$Q$3</f>
        <v>46175</v>
      </c>
      <c r="J85" s="66">
        <f t="shared" ref="J85" si="3">I85-H85</f>
        <v>15</v>
      </c>
      <c r="K85" s="8"/>
    </row>
    <row r="86" spans="2:11" x14ac:dyDescent="0.35">
      <c r="B86" s="12"/>
      <c r="C86" s="8" t="s">
        <v>56</v>
      </c>
      <c r="D86" s="62"/>
      <c r="E86" s="10"/>
      <c r="F86" s="73"/>
      <c r="G86" s="73"/>
      <c r="H86" s="65"/>
      <c r="I86" s="65"/>
      <c r="J86" s="66"/>
      <c r="K86" s="8"/>
    </row>
    <row r="87" spans="2:11" x14ac:dyDescent="0.35">
      <c r="B87" s="12"/>
      <c r="C87" s="8" t="s">
        <v>10</v>
      </c>
      <c r="D87" s="62"/>
      <c r="E87" s="10"/>
      <c r="F87" s="73"/>
      <c r="G87" s="73"/>
      <c r="H87" s="65"/>
      <c r="I87" s="65"/>
      <c r="J87" s="66"/>
      <c r="K87" s="8"/>
    </row>
    <row r="88" spans="2:11" x14ac:dyDescent="0.35">
      <c r="B88" s="12"/>
      <c r="C88" s="8" t="s">
        <v>12</v>
      </c>
      <c r="D88" s="62"/>
      <c r="E88" s="10"/>
      <c r="F88" s="73"/>
      <c r="G88" s="73"/>
      <c r="H88" s="65"/>
      <c r="I88" s="65"/>
      <c r="J88" s="66"/>
      <c r="K88" s="8"/>
    </row>
    <row r="89" spans="2:11" x14ac:dyDescent="0.35">
      <c r="B89" s="12"/>
      <c r="C89" s="8" t="s">
        <v>13</v>
      </c>
      <c r="D89" s="62"/>
      <c r="E89" s="10"/>
      <c r="F89" s="73"/>
      <c r="G89" s="73"/>
      <c r="H89" s="65"/>
      <c r="I89" s="65"/>
      <c r="J89" s="66"/>
      <c r="K89" s="8"/>
    </row>
    <row r="90" spans="2:11" x14ac:dyDescent="0.35">
      <c r="B90" s="12"/>
      <c r="C90" s="8" t="s">
        <v>14</v>
      </c>
      <c r="D90" s="62"/>
      <c r="E90" s="10"/>
      <c r="F90" s="73"/>
      <c r="G90" s="73"/>
      <c r="H90" s="65"/>
      <c r="I90" s="65"/>
      <c r="J90" s="66"/>
      <c r="K90" s="8"/>
    </row>
    <row r="91" spans="2:11" x14ac:dyDescent="0.35">
      <c r="B91" s="12"/>
      <c r="C91" s="8" t="s">
        <v>15</v>
      </c>
      <c r="D91" s="62"/>
      <c r="E91" s="10"/>
      <c r="F91" s="73"/>
      <c r="G91" s="73"/>
      <c r="H91" s="65"/>
      <c r="I91" s="65"/>
      <c r="J91" s="66"/>
      <c r="K91" s="8"/>
    </row>
    <row r="92" spans="2:11" x14ac:dyDescent="0.35">
      <c r="B92" s="12"/>
      <c r="C92" s="8" t="s">
        <v>16</v>
      </c>
      <c r="D92" s="62"/>
      <c r="E92" s="10"/>
      <c r="F92" s="73"/>
      <c r="G92" s="73"/>
      <c r="H92" s="65"/>
      <c r="I92" s="65"/>
      <c r="J92" s="66"/>
      <c r="K92" s="8"/>
    </row>
    <row r="93" spans="2:11" x14ac:dyDescent="0.35">
      <c r="B93" s="12"/>
      <c r="C93" s="8" t="s">
        <v>17</v>
      </c>
      <c r="D93" s="62"/>
      <c r="E93" s="10"/>
      <c r="F93" s="73"/>
      <c r="G93" s="73"/>
      <c r="H93" s="65"/>
      <c r="I93" s="65"/>
      <c r="J93" s="66"/>
      <c r="K93" s="8"/>
    </row>
    <row r="94" spans="2:11" x14ac:dyDescent="0.35">
      <c r="B94" s="12"/>
      <c r="C94" s="8" t="s">
        <v>18</v>
      </c>
      <c r="D94" s="62"/>
      <c r="E94" s="10"/>
      <c r="F94" s="73"/>
      <c r="G94" s="73"/>
      <c r="H94" s="65"/>
      <c r="I94" s="65"/>
      <c r="J94" s="66"/>
      <c r="K94" s="8"/>
    </row>
    <row r="95" spans="2:11" x14ac:dyDescent="0.35">
      <c r="B95" s="12"/>
      <c r="C95" s="8" t="s">
        <v>19</v>
      </c>
      <c r="D95" s="62"/>
      <c r="E95" s="10"/>
      <c r="F95" s="73"/>
      <c r="G95" s="73"/>
      <c r="H95" s="65"/>
      <c r="I95" s="65"/>
      <c r="J95" s="66"/>
      <c r="K95" s="8"/>
    </row>
    <row r="96" spans="2:11" x14ac:dyDescent="0.35">
      <c r="B96" s="12"/>
      <c r="C96" s="8" t="s">
        <v>20</v>
      </c>
      <c r="D96" s="62"/>
      <c r="E96" s="10"/>
      <c r="F96" s="73"/>
      <c r="G96" s="73"/>
      <c r="H96" s="65"/>
      <c r="I96" s="65"/>
      <c r="J96" s="66"/>
      <c r="K96" s="8"/>
    </row>
    <row r="97" spans="2:11" x14ac:dyDescent="0.35">
      <c r="B97" s="12"/>
      <c r="C97" s="8" t="s">
        <v>21</v>
      </c>
      <c r="D97" s="62"/>
      <c r="E97" s="10"/>
      <c r="F97" s="73"/>
      <c r="G97" s="73"/>
      <c r="H97" s="65"/>
      <c r="I97" s="65"/>
      <c r="J97" s="66"/>
      <c r="K97" s="8"/>
    </row>
    <row r="98" spans="2:11" x14ac:dyDescent="0.35">
      <c r="B98" s="12"/>
      <c r="C98" s="8" t="s">
        <v>49</v>
      </c>
      <c r="D98" s="62"/>
      <c r="E98" s="10"/>
      <c r="F98" s="73"/>
      <c r="G98" s="73"/>
      <c r="H98" s="65"/>
      <c r="I98" s="65"/>
      <c r="J98" s="66"/>
      <c r="K98" s="8"/>
    </row>
    <row r="101" spans="2:11" x14ac:dyDescent="0.35">
      <c r="E101" s="56">
        <f>E3+E4+E15+E26+E39+E54+E69</f>
        <v>2741407273012</v>
      </c>
      <c r="F101" s="56">
        <f>F3+F4+F15+F26+F39+F54+F69</f>
        <v>2604240876155</v>
      </c>
      <c r="G101" s="56">
        <f>G3+G4+G15+G26+G39+G54+G69</f>
        <v>2388117230157.8843</v>
      </c>
    </row>
    <row r="102" spans="2:11" x14ac:dyDescent="0.35">
      <c r="G102" s="78">
        <f>G101/F101</f>
        <v>0.91701088483174076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BA9B-D616-416E-9BAA-38E4C3A6F27C}">
  <dimension ref="A1:E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8" sqref="I18"/>
    </sheetView>
  </sheetViews>
  <sheetFormatPr defaultRowHeight="14.5" x14ac:dyDescent="0.35"/>
  <cols>
    <col min="1" max="1" width="12.08984375" bestFit="1" customWidth="1"/>
    <col min="2" max="2" width="13" customWidth="1"/>
    <col min="3" max="5" width="14.81640625" style="3" bestFit="1" customWidth="1"/>
  </cols>
  <sheetData>
    <row r="1" spans="1:5" x14ac:dyDescent="0.35">
      <c r="A1" t="s">
        <v>33</v>
      </c>
    </row>
    <row r="2" spans="1:5" x14ac:dyDescent="0.35">
      <c r="A2" s="2"/>
      <c r="B2" s="2"/>
      <c r="C2" s="4" t="s">
        <v>34</v>
      </c>
      <c r="D2" s="4" t="s">
        <v>35</v>
      </c>
      <c r="E2" s="4" t="s">
        <v>36</v>
      </c>
    </row>
    <row r="3" spans="1:5" x14ac:dyDescent="0.35">
      <c r="A3" t="s">
        <v>37</v>
      </c>
      <c r="B3" t="s">
        <v>4</v>
      </c>
      <c r="C3" s="3">
        <f>D3+E3</f>
        <v>20754740097</v>
      </c>
      <c r="D3" s="3">
        <v>10975062255</v>
      </c>
      <c r="E3" s="3">
        <f>9779677842</f>
        <v>9779677842</v>
      </c>
    </row>
    <row r="4" spans="1:5" x14ac:dyDescent="0.35">
      <c r="B4" t="s">
        <v>5</v>
      </c>
      <c r="C4" s="3">
        <f>D4+E4</f>
        <v>8825317956</v>
      </c>
      <c r="D4" s="3">
        <v>3078964271</v>
      </c>
      <c r="E4" s="3">
        <v>5746353685</v>
      </c>
    </row>
    <row r="6" spans="1:5" x14ac:dyDescent="0.35">
      <c r="C6" s="41">
        <f>D6+E6</f>
        <v>83186625856</v>
      </c>
      <c r="D6" s="41">
        <f>'[1]2019 - 2020'!$J$9</f>
        <v>42015270308</v>
      </c>
      <c r="E6" s="41">
        <f>'[1]2019 - 2020'!$I$9</f>
        <v>41171355548</v>
      </c>
    </row>
    <row r="7" spans="1:5" x14ac:dyDescent="0.35">
      <c r="A7" t="s">
        <v>9</v>
      </c>
      <c r="B7" t="s">
        <v>4</v>
      </c>
      <c r="C7" s="3">
        <f t="shared" ref="C7:C11" si="0">D7+E7</f>
        <v>48355127425.600006</v>
      </c>
      <c r="D7" s="3">
        <f>149316635453*20%</f>
        <v>29863327090.600002</v>
      </c>
      <c r="E7" s="3">
        <v>18491800335</v>
      </c>
    </row>
    <row r="8" spans="1:5" x14ac:dyDescent="0.35">
      <c r="B8" t="s">
        <v>5</v>
      </c>
      <c r="C8" s="3">
        <f t="shared" si="0"/>
        <v>34831498430.800003</v>
      </c>
      <c r="D8" s="3">
        <f>60759816089*20%</f>
        <v>12151963217.800001</v>
      </c>
      <c r="E8" s="3">
        <v>22679535213</v>
      </c>
    </row>
    <row r="10" spans="1:5" x14ac:dyDescent="0.35">
      <c r="A10" t="s">
        <v>38</v>
      </c>
      <c r="B10" t="s">
        <v>4</v>
      </c>
      <c r="C10" s="3">
        <f t="shared" si="0"/>
        <v>12088781856.400002</v>
      </c>
      <c r="D10" s="3">
        <f>D7*25%</f>
        <v>7465831772.6500006</v>
      </c>
      <c r="E10" s="3">
        <f>E7*25%</f>
        <v>4622950083.75</v>
      </c>
    </row>
    <row r="11" spans="1:5" x14ac:dyDescent="0.35">
      <c r="B11" t="s">
        <v>5</v>
      </c>
      <c r="C11" s="3">
        <f t="shared" si="0"/>
        <v>8707874607.7000008</v>
      </c>
      <c r="D11" s="3">
        <f>D8*25%</f>
        <v>3037990804.4500003</v>
      </c>
      <c r="E11" s="3">
        <f>E8*25%</f>
        <v>5669883803.25</v>
      </c>
    </row>
    <row r="13" spans="1:5" x14ac:dyDescent="0.35">
      <c r="A13" t="s">
        <v>39</v>
      </c>
      <c r="B13" t="s">
        <v>4</v>
      </c>
      <c r="C13" s="3">
        <v>7030562</v>
      </c>
      <c r="E13" s="3">
        <f>C13</f>
        <v>7030562</v>
      </c>
    </row>
    <row r="14" spans="1:5" x14ac:dyDescent="0.35">
      <c r="B14" t="s">
        <v>5</v>
      </c>
      <c r="C14" s="3">
        <v>4952060</v>
      </c>
      <c r="E14" s="3">
        <f>C14</f>
        <v>4952060</v>
      </c>
    </row>
    <row r="17" spans="1:5" x14ac:dyDescent="0.35">
      <c r="A17" t="s">
        <v>40</v>
      </c>
      <c r="B17" t="s">
        <v>4</v>
      </c>
      <c r="C17" s="3">
        <f>C3-C10-C13</f>
        <v>8658927678.5999985</v>
      </c>
      <c r="D17" s="3">
        <f t="shared" ref="D17:E18" si="1">D3-D10-D13</f>
        <v>3509230482.3499994</v>
      </c>
      <c r="E17" s="3">
        <f t="shared" si="1"/>
        <v>5149697196.25</v>
      </c>
    </row>
    <row r="18" spans="1:5" x14ac:dyDescent="0.35">
      <c r="B18" t="s">
        <v>5</v>
      </c>
      <c r="C18" s="3">
        <f>C4-C11-C14</f>
        <v>112491288.29999924</v>
      </c>
      <c r="D18" s="3">
        <f t="shared" si="1"/>
        <v>40973466.549999714</v>
      </c>
      <c r="E18" s="3">
        <f t="shared" si="1"/>
        <v>71517821.75</v>
      </c>
    </row>
    <row r="19" spans="1:5" x14ac:dyDescent="0.35">
      <c r="B19" t="s">
        <v>23</v>
      </c>
      <c r="C19" s="3">
        <f>C17+C18</f>
        <v>8771418966.8999977</v>
      </c>
      <c r="D19" s="3">
        <f t="shared" ref="D19:E19" si="2">D17+D18</f>
        <v>3550203948.8999991</v>
      </c>
      <c r="E19" s="3">
        <f t="shared" si="2"/>
        <v>5221215018</v>
      </c>
    </row>
    <row r="21" spans="1:5" x14ac:dyDescent="0.35">
      <c r="A21" t="s">
        <v>41</v>
      </c>
      <c r="B21" t="s">
        <v>4</v>
      </c>
      <c r="C21" s="3">
        <f t="shared" ref="C21:C27" si="3">D21+E21</f>
        <v>13384986182</v>
      </c>
      <c r="D21" s="3">
        <f>'sum pra sar'!C22</f>
        <v>2492257349</v>
      </c>
      <c r="E21" s="3">
        <f>'sum pra sar'!E22</f>
        <v>10892728833</v>
      </c>
    </row>
    <row r="22" spans="1:5" x14ac:dyDescent="0.35">
      <c r="B22" t="s">
        <v>5</v>
      </c>
      <c r="C22" s="3">
        <f t="shared" si="3"/>
        <v>-765088447</v>
      </c>
      <c r="D22" s="3">
        <f>'sum pra sar'!D22</f>
        <v>-266922960</v>
      </c>
      <c r="E22" s="3">
        <f>'sum pra sar'!F22</f>
        <v>-498165487</v>
      </c>
    </row>
    <row r="23" spans="1:5" x14ac:dyDescent="0.35">
      <c r="B23" t="s">
        <v>23</v>
      </c>
      <c r="C23" s="3">
        <f t="shared" si="3"/>
        <v>12619897735</v>
      </c>
      <c r="D23" s="3">
        <f t="shared" ref="D23" si="4">D21+D22</f>
        <v>2225334389</v>
      </c>
      <c r="E23" s="3">
        <f t="shared" ref="E23" si="5">E21+E22</f>
        <v>10394563346</v>
      </c>
    </row>
    <row r="25" spans="1:5" x14ac:dyDescent="0.35">
      <c r="A25" t="s">
        <v>42</v>
      </c>
      <c r="B25" t="s">
        <v>4</v>
      </c>
      <c r="C25" s="3">
        <f t="shared" si="3"/>
        <v>-4726058503.4000006</v>
      </c>
      <c r="D25" s="3">
        <f>D17-D21</f>
        <v>1016973133.3499994</v>
      </c>
      <c r="E25" s="3">
        <f>E17-E21</f>
        <v>-5743031636.75</v>
      </c>
    </row>
    <row r="26" spans="1:5" x14ac:dyDescent="0.35">
      <c r="B26" t="s">
        <v>5</v>
      </c>
      <c r="C26" s="3">
        <f t="shared" si="3"/>
        <v>877579735.29999971</v>
      </c>
      <c r="D26" s="3">
        <f>D18-D22</f>
        <v>307896426.54999971</v>
      </c>
      <c r="E26" s="3">
        <f>E18-E22</f>
        <v>569683308.75</v>
      </c>
    </row>
    <row r="27" spans="1:5" x14ac:dyDescent="0.35">
      <c r="B27" t="s">
        <v>23</v>
      </c>
      <c r="C27" s="3">
        <f t="shared" si="3"/>
        <v>-3848478768.1000009</v>
      </c>
      <c r="D27" s="3">
        <f t="shared" ref="D27" si="6">D25+D26</f>
        <v>1324869559.8999991</v>
      </c>
      <c r="E27" s="3">
        <f t="shared" ref="E27" si="7">E25+E26</f>
        <v>-5173348328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F5A6-D4E1-462B-92C0-A966ACC1E033}">
  <dimension ref="A1:E27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C9" sqref="C9"/>
    </sheetView>
  </sheetViews>
  <sheetFormatPr defaultRowHeight="14.5" x14ac:dyDescent="0.35"/>
  <cols>
    <col min="1" max="1" width="12.08984375" bestFit="1" customWidth="1"/>
    <col min="2" max="2" width="13" customWidth="1"/>
    <col min="3" max="5" width="14.81640625" style="3" bestFit="1" customWidth="1"/>
  </cols>
  <sheetData>
    <row r="1" spans="1:5" x14ac:dyDescent="0.35">
      <c r="A1" t="s">
        <v>33</v>
      </c>
    </row>
    <row r="2" spans="1:5" x14ac:dyDescent="0.35">
      <c r="A2" s="2"/>
      <c r="B2" s="2"/>
      <c r="C2" s="4" t="s">
        <v>34</v>
      </c>
      <c r="D2" s="4" t="s">
        <v>35</v>
      </c>
      <c r="E2" s="4" t="s">
        <v>36</v>
      </c>
    </row>
    <row r="3" spans="1:5" x14ac:dyDescent="0.35">
      <c r="A3" t="s">
        <v>37</v>
      </c>
      <c r="B3" t="s">
        <v>4</v>
      </c>
      <c r="C3" s="3">
        <f>D3+E3</f>
        <v>0</v>
      </c>
    </row>
    <row r="4" spans="1:5" x14ac:dyDescent="0.35">
      <c r="B4" t="s">
        <v>5</v>
      </c>
      <c r="C4" s="3">
        <f>D4+E4</f>
        <v>0</v>
      </c>
    </row>
    <row r="6" spans="1:5" x14ac:dyDescent="0.35">
      <c r="C6" s="41">
        <f>D6+E6</f>
        <v>83186625856</v>
      </c>
      <c r="D6" s="41">
        <f>'[1]2019 - 2020'!$J$9</f>
        <v>42015270308</v>
      </c>
      <c r="E6" s="41">
        <f>'[1]2019 - 2020'!$I$9</f>
        <v>41171355548</v>
      </c>
    </row>
    <row r="7" spans="1:5" x14ac:dyDescent="0.35">
      <c r="A7" t="s">
        <v>9</v>
      </c>
      <c r="B7" t="s">
        <v>4</v>
      </c>
      <c r="C7" s="3">
        <f t="shared" ref="C7:C11" si="0">D7+E7</f>
        <v>0</v>
      </c>
    </row>
    <row r="8" spans="1:5" x14ac:dyDescent="0.35">
      <c r="B8" t="s">
        <v>5</v>
      </c>
      <c r="C8" s="3">
        <f t="shared" si="0"/>
        <v>0</v>
      </c>
    </row>
    <row r="10" spans="1:5" x14ac:dyDescent="0.35">
      <c r="A10" t="s">
        <v>38</v>
      </c>
      <c r="B10" t="s">
        <v>4</v>
      </c>
      <c r="C10" s="3">
        <f t="shared" si="0"/>
        <v>0</v>
      </c>
      <c r="D10" s="3">
        <f>D7*25%</f>
        <v>0</v>
      </c>
      <c r="E10" s="3">
        <f>E7*25%</f>
        <v>0</v>
      </c>
    </row>
    <row r="11" spans="1:5" x14ac:dyDescent="0.35">
      <c r="B11" t="s">
        <v>5</v>
      </c>
      <c r="C11" s="3">
        <f t="shared" si="0"/>
        <v>0</v>
      </c>
      <c r="D11" s="3">
        <f>D8*25%</f>
        <v>0</v>
      </c>
      <c r="E11" s="3">
        <f>E8*25%</f>
        <v>0</v>
      </c>
    </row>
    <row r="13" spans="1:5" x14ac:dyDescent="0.35">
      <c r="A13" t="s">
        <v>39</v>
      </c>
      <c r="B13" t="s">
        <v>4</v>
      </c>
      <c r="C13" s="3">
        <v>7030562</v>
      </c>
    </row>
    <row r="14" spans="1:5" x14ac:dyDescent="0.35">
      <c r="B14" t="s">
        <v>5</v>
      </c>
      <c r="C14" s="3">
        <v>4952060</v>
      </c>
    </row>
    <row r="17" spans="1:5" x14ac:dyDescent="0.35">
      <c r="A17" t="s">
        <v>40</v>
      </c>
      <c r="B17" t="s">
        <v>4</v>
      </c>
      <c r="C17" s="3">
        <f>C3-C10-C13</f>
        <v>-7030562</v>
      </c>
      <c r="D17" s="3">
        <f t="shared" ref="D17:E18" si="1">D3-D10-D13</f>
        <v>0</v>
      </c>
      <c r="E17" s="3">
        <f t="shared" si="1"/>
        <v>0</v>
      </c>
    </row>
    <row r="18" spans="1:5" x14ac:dyDescent="0.35">
      <c r="B18" t="s">
        <v>5</v>
      </c>
      <c r="C18" s="3">
        <f>C4-C11-C14</f>
        <v>-4952060</v>
      </c>
      <c r="D18" s="3">
        <f t="shared" si="1"/>
        <v>0</v>
      </c>
      <c r="E18" s="3">
        <f t="shared" si="1"/>
        <v>0</v>
      </c>
    </row>
    <row r="19" spans="1:5" x14ac:dyDescent="0.35">
      <c r="B19" t="s">
        <v>23</v>
      </c>
      <c r="C19" s="3">
        <f>C17+C18</f>
        <v>-11982622</v>
      </c>
      <c r="D19" s="3">
        <f t="shared" ref="D19:E19" si="2">D17+D18</f>
        <v>0</v>
      </c>
      <c r="E19" s="3">
        <f t="shared" si="2"/>
        <v>0</v>
      </c>
    </row>
    <row r="21" spans="1:5" x14ac:dyDescent="0.35">
      <c r="A21" t="s">
        <v>41</v>
      </c>
      <c r="B21" t="s">
        <v>4</v>
      </c>
      <c r="C21" s="3">
        <f t="shared" ref="C21:C27" si="3">D21+E21</f>
        <v>0</v>
      </c>
    </row>
    <row r="22" spans="1:5" x14ac:dyDescent="0.35">
      <c r="B22" t="s">
        <v>5</v>
      </c>
      <c r="C22" s="3">
        <f t="shared" si="3"/>
        <v>0</v>
      </c>
    </row>
    <row r="23" spans="1:5" x14ac:dyDescent="0.35">
      <c r="B23" t="s">
        <v>23</v>
      </c>
      <c r="C23" s="3">
        <f t="shared" si="3"/>
        <v>0</v>
      </c>
      <c r="D23" s="3">
        <f t="shared" ref="D23:E23" si="4">D21+D22</f>
        <v>0</v>
      </c>
      <c r="E23" s="3">
        <f t="shared" si="4"/>
        <v>0</v>
      </c>
    </row>
    <row r="25" spans="1:5" x14ac:dyDescent="0.35">
      <c r="A25" t="s">
        <v>42</v>
      </c>
      <c r="B25" t="s">
        <v>4</v>
      </c>
      <c r="C25" s="3">
        <f t="shared" si="3"/>
        <v>0</v>
      </c>
      <c r="D25" s="3">
        <f>D17-D21</f>
        <v>0</v>
      </c>
      <c r="E25" s="3">
        <f>E17-E21</f>
        <v>0</v>
      </c>
    </row>
    <row r="26" spans="1:5" x14ac:dyDescent="0.35">
      <c r="B26" t="s">
        <v>5</v>
      </c>
      <c r="C26" s="3">
        <f t="shared" si="3"/>
        <v>0</v>
      </c>
      <c r="D26" s="3">
        <f>D18-D22</f>
        <v>0</v>
      </c>
      <c r="E26" s="3">
        <f>E18-E22</f>
        <v>0</v>
      </c>
    </row>
    <row r="27" spans="1:5" x14ac:dyDescent="0.35">
      <c r="B27" t="s">
        <v>23</v>
      </c>
      <c r="C27" s="3">
        <f t="shared" si="3"/>
        <v>0</v>
      </c>
      <c r="D27" s="3">
        <f t="shared" ref="D27:E27" si="5">D25+D26</f>
        <v>0</v>
      </c>
      <c r="E27" s="3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 pra sar</vt:lpstr>
      <vt:lpstr>kebut - real</vt:lpstr>
      <vt:lpstr>selish kurng 2020</vt:lpstr>
      <vt:lpstr>selish kurng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Bangun Budiyanto</dc:creator>
  <cp:lastModifiedBy>Bangun Budiyanto</cp:lastModifiedBy>
  <dcterms:created xsi:type="dcterms:W3CDTF">2025-10-22T03:38:14Z</dcterms:created>
  <dcterms:modified xsi:type="dcterms:W3CDTF">2026-07-28T06:45:48Z</dcterms:modified>
</cp:coreProperties>
</file>